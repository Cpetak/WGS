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sengepetak/Desktop/WGS/"/>
    </mc:Choice>
  </mc:AlternateContent>
  <xr:revisionPtr revIDLastSave="0" documentId="13_ncr:1_{F190F5F7-9F34-714C-9E72-1535F1174FAC}" xr6:coauthVersionLast="45" xr6:coauthVersionMax="45" xr10:uidLastSave="{00000000-0000-0000-0000-000000000000}"/>
  <bookViews>
    <workbookView xWindow="0" yWindow="460" windowWidth="28800" windowHeight="16060" activeTab="1" xr2:uid="{FDB5176B-DCA5-B941-A574-77F269D4027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H10" i="1"/>
  <c r="C11" i="1" s="1"/>
  <c r="I8" i="1"/>
  <c r="H8" i="1"/>
  <c r="E9" i="1" s="1"/>
  <c r="I6" i="1"/>
  <c r="H6" i="1"/>
  <c r="C7" i="1" s="1"/>
  <c r="I4" i="1"/>
  <c r="H4" i="1"/>
  <c r="I2" i="1"/>
  <c r="H2" i="1"/>
  <c r="C3" i="1"/>
  <c r="C5" i="1"/>
  <c r="F11" i="1" l="1"/>
  <c r="F9" i="1"/>
  <c r="E11" i="1"/>
  <c r="F7" i="1"/>
  <c r="B9" i="1"/>
  <c r="D9" i="1"/>
  <c r="E7" i="1"/>
  <c r="G9" i="1"/>
  <c r="C9" i="1"/>
  <c r="B7" i="1"/>
  <c r="D7" i="1"/>
  <c r="G7" i="1"/>
  <c r="B11" i="1"/>
  <c r="D11" i="1"/>
  <c r="G11" i="1"/>
  <c r="F3" i="1"/>
  <c r="G3" i="1"/>
  <c r="E3" i="1"/>
  <c r="D3" i="1"/>
  <c r="B3" i="1"/>
  <c r="F5" i="1"/>
  <c r="E5" i="1"/>
  <c r="D5" i="1"/>
  <c r="G5" i="1"/>
  <c r="B5" i="1"/>
  <c r="I5" i="1" l="1"/>
  <c r="I7" i="1"/>
  <c r="H7" i="1"/>
  <c r="I3" i="1"/>
  <c r="H3" i="1"/>
  <c r="I11" i="1"/>
  <c r="I9" i="1"/>
  <c r="H9" i="1"/>
  <c r="H11" i="1"/>
  <c r="H5" i="1"/>
</calcChain>
</file>

<file path=xl/sharedStrings.xml><?xml version="1.0" encoding="utf-8"?>
<sst xmlns="http://schemas.openxmlformats.org/spreadsheetml/2006/main" count="23" uniqueCount="13">
  <si>
    <t>LOM</t>
  </si>
  <si>
    <t>mean pH</t>
  </si>
  <si>
    <t>TER</t>
  </si>
  <si>
    <t>BOD</t>
  </si>
  <si>
    <t>KIB</t>
  </si>
  <si>
    <t>CAP</t>
  </si>
  <si>
    <t>FOG</t>
  </si>
  <si>
    <t>mean</t>
  </si>
  <si>
    <t>sd</t>
  </si>
  <si>
    <t>var pH</t>
  </si>
  <si>
    <t>mean T</t>
  </si>
  <si>
    <t>var T</t>
  </si>
  <si>
    <t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</si>
</sst>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5A307-7762-A944-B097-D51E36EFC975}">
  <dimension ref="A1:I11"/>
  <sheetViews>
    <sheetView workbookViewId="0">
      <selection activeCell="A2" sqref="A2:A10"/>
    </sheetView>
  </sheetViews>
  <sheetFormatPr baseColWidth="10" defaultRowHeight="16" x14ac:dyDescent="0.2"/>
  <cols>
    <col min="8" max="8" width="12.83203125" bestFit="1" customWidth="1"/>
  </cols>
  <sheetData>
    <row r="1" spans="1:9" x14ac:dyDescent="0.2"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 s="1">
        <v>8.0761179999999992</v>
      </c>
      <c r="C2" s="1">
        <v>8.1779419999999998</v>
      </c>
      <c r="D2" s="1">
        <v>7.9960500000000003</v>
      </c>
      <c r="E2" s="1">
        <v>8.0223800000000001</v>
      </c>
      <c r="F2" s="1">
        <v>8.0091760000000001</v>
      </c>
      <c r="G2" s="1">
        <v>7.9836229999999997</v>
      </c>
      <c r="H2">
        <f>AVERAGE(B2:G2)</f>
        <v>8.0442148333333332</v>
      </c>
      <c r="I2">
        <f>STDEV(B2:G2)</f>
        <v>7.2933488018650572E-2</v>
      </c>
    </row>
    <row r="3" spans="1:9" x14ac:dyDescent="0.2">
      <c r="B3">
        <f>(B2-$H$2)/$I$2</f>
        <v>0.43742823130175473</v>
      </c>
      <c r="C3">
        <f t="shared" ref="C3:F3" si="0">(C2-$H$2)/$I$2</f>
        <v>1.8335495846910526</v>
      </c>
      <c r="D3">
        <f t="shared" si="0"/>
        <v>-0.66039393756975062</v>
      </c>
      <c r="E3">
        <f t="shared" si="0"/>
        <v>-0.2993800780205319</v>
      </c>
      <c r="F3">
        <f t="shared" si="0"/>
        <v>-0.48042174157875173</v>
      </c>
      <c r="G3">
        <f>(G2-$H$2)/$I$2</f>
        <v>-0.8307820588237731</v>
      </c>
      <c r="H3">
        <f t="shared" ref="H3:H11" si="1">AVERAGE(B3:G3)</f>
        <v>0</v>
      </c>
      <c r="I3">
        <f t="shared" ref="I3:I11" si="2">STDEV(B3:G3)</f>
        <v>1</v>
      </c>
    </row>
    <row r="4" spans="1:9" x14ac:dyDescent="0.2">
      <c r="A4" t="s">
        <v>9</v>
      </c>
      <c r="B4" s="1">
        <v>0.1342276</v>
      </c>
      <c r="C4" s="1">
        <v>0.1519751</v>
      </c>
      <c r="D4" s="1">
        <v>0.12908240000000001</v>
      </c>
      <c r="E4" s="1">
        <v>0.10522189999999999</v>
      </c>
      <c r="F4" s="1">
        <v>0.13502149999999999</v>
      </c>
      <c r="G4" s="1">
        <v>0.1804192</v>
      </c>
      <c r="H4">
        <f t="shared" si="1"/>
        <v>0.13932461666666668</v>
      </c>
      <c r="I4">
        <f t="shared" si="2"/>
        <v>2.5144359948697539E-2</v>
      </c>
    </row>
    <row r="5" spans="1:9" x14ac:dyDescent="0.2">
      <c r="B5">
        <f>(B4-$H$4)/$I$4</f>
        <v>-0.20271013766372281</v>
      </c>
      <c r="C5">
        <f t="shared" ref="C5:G5" si="3">(C4-$H$4)/$I$4</f>
        <v>0.50311415200642684</v>
      </c>
      <c r="D5">
        <f t="shared" si="3"/>
        <v>-0.40733654336654551</v>
      </c>
      <c r="E5">
        <f t="shared" si="3"/>
        <v>-1.3562769836355761</v>
      </c>
      <c r="F5">
        <f t="shared" si="3"/>
        <v>-0.17113645666250449</v>
      </c>
      <c r="G5">
        <f t="shared" si="3"/>
        <v>1.6343459693219193</v>
      </c>
      <c r="H5">
        <f t="shared" si="1"/>
        <v>-4.4408920985006262E-16</v>
      </c>
      <c r="I5">
        <f t="shared" si="2"/>
        <v>1.0000000000000016</v>
      </c>
    </row>
    <row r="6" spans="1:9" x14ac:dyDescent="0.2">
      <c r="A6" t="s">
        <v>10</v>
      </c>
      <c r="B6" s="1">
        <v>12.470980000000001</v>
      </c>
      <c r="C6" s="1">
        <v>12.675840000000001</v>
      </c>
      <c r="D6" s="1">
        <v>11.415139999999999</v>
      </c>
      <c r="E6" s="1">
        <v>10.15551</v>
      </c>
      <c r="F6" s="1">
        <v>10.175219999999999</v>
      </c>
      <c r="G6" s="1">
        <v>10.350569999999999</v>
      </c>
      <c r="H6">
        <f t="shared" si="1"/>
        <v>11.207210000000002</v>
      </c>
      <c r="I6">
        <f t="shared" si="2"/>
        <v>1.1577678449844775</v>
      </c>
    </row>
    <row r="7" spans="1:9" x14ac:dyDescent="0.2">
      <c r="B7">
        <f>(B6-$H$6)/$I$6</f>
        <v>1.0915573493207034</v>
      </c>
      <c r="C7">
        <f t="shared" ref="C7:G7" si="4">(C6-$H$6)/$I$6</f>
        <v>1.2685012857821161</v>
      </c>
      <c r="D7">
        <f t="shared" si="4"/>
        <v>0.17959559068837785</v>
      </c>
      <c r="E7">
        <f t="shared" si="4"/>
        <v>-0.90838591221550335</v>
      </c>
      <c r="F7">
        <f t="shared" si="4"/>
        <v>-0.89136177383976178</v>
      </c>
      <c r="G7">
        <f t="shared" si="4"/>
        <v>-0.73990653973594123</v>
      </c>
      <c r="H7">
        <f t="shared" si="1"/>
        <v>-1.4988010832439613E-15</v>
      </c>
      <c r="I7">
        <f t="shared" si="2"/>
        <v>1.0000000000000002</v>
      </c>
    </row>
    <row r="8" spans="1:9" x14ac:dyDescent="0.2">
      <c r="A8" t="s">
        <v>11</v>
      </c>
      <c r="B8" s="1">
        <v>1.098031</v>
      </c>
      <c r="C8" s="1">
        <v>1.2102919999999999</v>
      </c>
      <c r="D8" s="1">
        <v>1.5498240000000001</v>
      </c>
      <c r="E8" s="1">
        <v>1.2050989999999999</v>
      </c>
      <c r="F8" s="1">
        <v>1.344381</v>
      </c>
      <c r="G8" s="1">
        <v>1.7137020000000001</v>
      </c>
      <c r="H8">
        <f t="shared" si="1"/>
        <v>1.3535548333333332</v>
      </c>
      <c r="I8">
        <f t="shared" si="2"/>
        <v>0.23501809714438485</v>
      </c>
    </row>
    <row r="9" spans="1:9" x14ac:dyDescent="0.2">
      <c r="B9">
        <f>(B8-$H$8)/$I$8</f>
        <v>-1.0872517326882725</v>
      </c>
      <c r="C9">
        <f t="shared" ref="C9:G9" si="5">(C8-$H$8)/$I$8</f>
        <v>-0.60958213462735511</v>
      </c>
      <c r="D9">
        <f t="shared" si="5"/>
        <v>0.83512363112227794</v>
      </c>
      <c r="E9">
        <f t="shared" si="5"/>
        <v>-0.63167830536100567</v>
      </c>
      <c r="F9">
        <f t="shared" si="5"/>
        <v>-3.9034582633426317E-2</v>
      </c>
      <c r="G9">
        <f t="shared" si="5"/>
        <v>1.5324231241877864</v>
      </c>
      <c r="H9">
        <f t="shared" si="1"/>
        <v>7.7715611723760958E-16</v>
      </c>
      <c r="I9">
        <f t="shared" si="2"/>
        <v>0.99999999999999256</v>
      </c>
    </row>
    <row r="10" spans="1:9" x14ac:dyDescent="0.2">
      <c r="A10" t="s">
        <v>12</v>
      </c>
      <c r="B10">
        <v>7.2992700000000001E-3</v>
      </c>
      <c r="C10">
        <v>0</v>
      </c>
      <c r="D10">
        <v>5.0266569999999997E-2</v>
      </c>
      <c r="E10">
        <v>3.3750680000000002E-3</v>
      </c>
      <c r="F10">
        <v>7.1884180000000006E-2</v>
      </c>
      <c r="G10">
        <v>0.17809759999999999</v>
      </c>
      <c r="H10">
        <f t="shared" si="1"/>
        <v>5.1820447999999998E-2</v>
      </c>
      <c r="I10">
        <f t="shared" si="2"/>
        <v>6.8359836103680946E-2</v>
      </c>
    </row>
    <row r="11" spans="1:9" x14ac:dyDescent="0.2">
      <c r="B11">
        <f>(B10-$H$10)/$I$10</f>
        <v>-0.65127683940720682</v>
      </c>
      <c r="C11">
        <f t="shared" ref="C11:G11" si="6">(C10-$H$10)/$I$10</f>
        <v>-0.75805401173584208</v>
      </c>
      <c r="D11">
        <f t="shared" si="6"/>
        <v>-2.2730861988072122E-2</v>
      </c>
      <c r="E11">
        <f t="shared" si="6"/>
        <v>-0.70868192145053099</v>
      </c>
      <c r="F11">
        <f t="shared" si="6"/>
        <v>0.29350175693179642</v>
      </c>
      <c r="G11">
        <f t="shared" si="6"/>
        <v>1.847241877649856</v>
      </c>
      <c r="H11">
        <f t="shared" si="1"/>
        <v>0</v>
      </c>
      <c r="I11">
        <f t="shared" si="2"/>
        <v>0.99999999999999989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7ADE-F755-C442-9EE9-7ADCA8C14DDB}">
  <dimension ref="A1:G14"/>
  <sheetViews>
    <sheetView tabSelected="1" workbookViewId="0">
      <selection activeCell="A8" sqref="A8:E14"/>
    </sheetView>
  </sheetViews>
  <sheetFormatPr baseColWidth="10" defaultRowHeight="16" x14ac:dyDescent="0.2"/>
  <sheetData>
    <row r="1" spans="1:7" x14ac:dyDescent="0.2">
      <c r="A1">
        <v>0.43742823130175473</v>
      </c>
      <c r="B1">
        <v>1.8335495846910526</v>
      </c>
      <c r="C1">
        <v>-0.66039393756975062</v>
      </c>
      <c r="D1">
        <v>-0.2993800780205319</v>
      </c>
      <c r="E1">
        <v>-0.48042174157875173</v>
      </c>
      <c r="F1">
        <v>-0.8307820588237731</v>
      </c>
      <c r="G1" t="s">
        <v>1</v>
      </c>
    </row>
    <row r="2" spans="1:7" x14ac:dyDescent="0.2">
      <c r="A2">
        <v>-0.20271013766372281</v>
      </c>
      <c r="B2">
        <v>0.50311415200642684</v>
      </c>
      <c r="C2">
        <v>-0.40733654336654551</v>
      </c>
      <c r="D2">
        <v>-1.3562769836355761</v>
      </c>
      <c r="E2">
        <v>-0.17113645666250449</v>
      </c>
      <c r="F2">
        <v>1.6343459693219193</v>
      </c>
      <c r="G2" t="s">
        <v>9</v>
      </c>
    </row>
    <row r="3" spans="1:7" x14ac:dyDescent="0.2">
      <c r="A3">
        <v>1.0915573493207034</v>
      </c>
      <c r="B3">
        <v>1.2685012857821161</v>
      </c>
      <c r="C3">
        <v>0.17959559068837785</v>
      </c>
      <c r="D3">
        <v>-0.90838591221550335</v>
      </c>
      <c r="E3">
        <v>-0.89136177383976178</v>
      </c>
      <c r="F3">
        <v>-0.73990653973594123</v>
      </c>
      <c r="G3" t="s">
        <v>10</v>
      </c>
    </row>
    <row r="4" spans="1:7" x14ac:dyDescent="0.2">
      <c r="A4">
        <v>-1.0872517326882725</v>
      </c>
      <c r="B4">
        <v>-0.60958213462735511</v>
      </c>
      <c r="C4">
        <v>0.83512363112227794</v>
      </c>
      <c r="D4">
        <v>-0.63167830536100567</v>
      </c>
      <c r="E4">
        <v>-3.9034582633426317E-2</v>
      </c>
      <c r="F4">
        <v>1.5324231241877864</v>
      </c>
      <c r="G4" t="s">
        <v>11</v>
      </c>
    </row>
    <row r="5" spans="1:7" x14ac:dyDescent="0.2">
      <c r="A5">
        <v>-0.65127683940720682</v>
      </c>
      <c r="B5">
        <v>-0.75805401173584208</v>
      </c>
      <c r="C5">
        <v>-2.2730861988072122E-2</v>
      </c>
      <c r="D5">
        <v>-0.70868192145053099</v>
      </c>
      <c r="E5">
        <v>0.29350175693179642</v>
      </c>
      <c r="F5">
        <v>1.847241877649856</v>
      </c>
      <c r="G5" t="s">
        <v>12</v>
      </c>
    </row>
    <row r="8" spans="1:7" x14ac:dyDescent="0.2">
      <c r="A8" t="s">
        <v>1</v>
      </c>
      <c r="B8" t="s">
        <v>9</v>
      </c>
      <c r="C8" t="s">
        <v>10</v>
      </c>
      <c r="D8" t="s">
        <v>11</v>
      </c>
      <c r="E8" t="s">
        <v>12</v>
      </c>
    </row>
    <row r="9" spans="1:7" x14ac:dyDescent="0.2">
      <c r="A9">
        <v>0.43742823130175473</v>
      </c>
      <c r="B9">
        <v>-0.20271013766372281</v>
      </c>
      <c r="C9">
        <v>1.0915573493207034</v>
      </c>
      <c r="D9">
        <v>-1.0872517326882725</v>
      </c>
      <c r="E9">
        <v>-0.65127683940720682</v>
      </c>
    </row>
    <row r="10" spans="1:7" x14ac:dyDescent="0.2">
      <c r="A10">
        <v>1.8335495846910526</v>
      </c>
      <c r="B10">
        <v>0.50311415200642684</v>
      </c>
      <c r="C10">
        <v>1.2685012857821161</v>
      </c>
      <c r="D10">
        <v>-0.60958213462735511</v>
      </c>
      <c r="E10">
        <v>-0.75805401173584208</v>
      </c>
    </row>
    <row r="11" spans="1:7" x14ac:dyDescent="0.2">
      <c r="A11">
        <v>-0.66039393756975062</v>
      </c>
      <c r="B11">
        <v>-0.40733654336654551</v>
      </c>
      <c r="C11">
        <v>0.17959559068837785</v>
      </c>
      <c r="D11">
        <v>0.83512363112227794</v>
      </c>
      <c r="E11">
        <v>-2.2730861988072122E-2</v>
      </c>
    </row>
    <row r="12" spans="1:7" x14ac:dyDescent="0.2">
      <c r="A12">
        <v>-0.2993800780205319</v>
      </c>
      <c r="B12">
        <v>-1.3562769836355761</v>
      </c>
      <c r="C12">
        <v>-0.90838591221550335</v>
      </c>
      <c r="D12">
        <v>-0.63167830536100567</v>
      </c>
      <c r="E12">
        <v>-0.70868192145053099</v>
      </c>
    </row>
    <row r="13" spans="1:7" x14ac:dyDescent="0.2">
      <c r="A13">
        <v>-0.48042174157875173</v>
      </c>
      <c r="B13">
        <v>-0.17113645666250449</v>
      </c>
      <c r="C13">
        <v>-0.89136177383976178</v>
      </c>
      <c r="D13">
        <v>-3.9034582633426317E-2</v>
      </c>
      <c r="E13">
        <v>0.29350175693179642</v>
      </c>
    </row>
    <row r="14" spans="1:7" x14ac:dyDescent="0.2">
      <c r="A14">
        <v>-0.8307820588237731</v>
      </c>
      <c r="B14">
        <v>1.6343459693219193</v>
      </c>
      <c r="C14">
        <v>-0.73990653973594123</v>
      </c>
      <c r="D14">
        <v>1.5324231241877864</v>
      </c>
      <c r="E14">
        <v>1.847241877649856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2020-11-07T20:22:11Z</dcterms:created>
  <dcterms:modified xsi:type="dcterms:W3CDTF">2020-11-28T12:19:00Z</dcterms:modified>
</cp:coreProperties>
</file>
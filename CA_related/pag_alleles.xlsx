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11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csengeswork/Desktop/WGS/"/>
    </mc:Choice>
  </mc:AlternateContent>
  <xr:revisionPtr revIDLastSave="0" documentId="13_ncr:1_{4ED7DA90-928A-C849-9CDD-F304E5E5FBDB}" xr6:coauthVersionLast="46" xr6:coauthVersionMax="46" xr10:uidLastSave="{00000000-0000-0000-0000-000000000000}"/>
  <bookViews>
    <workbookView xWindow="0" yWindow="500" windowWidth="38400" windowHeight="19400" xr2:uid="{00000000-000D-0000-FFFF-FFFF00000000}"/>
  </bookViews>
  <sheets>
    <sheet name="pag_allele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Q11" i="1" l="1"/>
  <c r="Q12" i="1"/>
  <c r="Q10" i="1"/>
  <c r="P11" i="1"/>
  <c r="P12" i="1"/>
  <c r="P10" i="1"/>
  <c r="O11" i="1"/>
  <c r="O12" i="1"/>
  <c r="O10" i="1"/>
  <c r="N11" i="1"/>
  <c r="N12" i="1"/>
  <c r="N10" i="1"/>
  <c r="M11" i="1"/>
  <c r="M12" i="1"/>
  <c r="M10" i="1"/>
  <c r="AD6" i="1"/>
  <c r="AE6" i="1"/>
  <c r="AF6" i="1"/>
  <c r="AG6" i="1"/>
  <c r="AH6" i="1"/>
  <c r="AI6" i="1"/>
  <c r="AC6" i="1"/>
  <c r="U6" i="1"/>
  <c r="V6" i="1"/>
  <c r="W6" i="1"/>
  <c r="X6" i="1"/>
  <c r="Y6" i="1"/>
  <c r="Z6" i="1"/>
  <c r="T6" i="1"/>
  <c r="L9" i="1"/>
  <c r="M9" i="1"/>
  <c r="N9" i="1"/>
  <c r="O9" i="1"/>
  <c r="P9" i="1"/>
  <c r="Q9" i="1"/>
  <c r="K9" i="1"/>
  <c r="Q8" i="1"/>
  <c r="Q7" i="1"/>
  <c r="P8" i="1"/>
  <c r="P7" i="1"/>
  <c r="O8" i="1"/>
  <c r="O7" i="1"/>
  <c r="O6" i="1"/>
  <c r="N8" i="1"/>
  <c r="N7" i="1"/>
  <c r="N6" i="1"/>
  <c r="M8" i="1"/>
  <c r="M7" i="1"/>
  <c r="M6" i="1"/>
  <c r="L8" i="1"/>
  <c r="L7" i="1"/>
  <c r="L6" i="1"/>
  <c r="K8" i="1"/>
  <c r="K7" i="1"/>
  <c r="K6" i="1"/>
  <c r="P6" i="1"/>
  <c r="Q6" i="1"/>
</calcChain>
</file>

<file path=xl/sharedStrings.xml><?xml version="1.0" encoding="utf-8"?>
<sst xmlns="http://schemas.openxmlformats.org/spreadsheetml/2006/main" count="318" uniqueCount="21">
  <si>
    <t>Table 1</t>
  </si>
  <si>
    <t>KIB</t>
  </si>
  <si>
    <t>LOM</t>
  </si>
  <si>
    <t>TER</t>
  </si>
  <si>
    <t>SAN</t>
  </si>
  <si>
    <t>BOD</t>
  </si>
  <si>
    <t>FOG</t>
  </si>
  <si>
    <t>CAP</t>
  </si>
  <si>
    <t>p</t>
  </si>
  <si>
    <t>g</t>
  </si>
  <si>
    <t>a</t>
  </si>
  <si>
    <t>-</t>
  </si>
  <si>
    <t>Ala</t>
  </si>
  <si>
    <t>Gly</t>
  </si>
  <si>
    <t>Pro</t>
  </si>
  <si>
    <t>CC</t>
  </si>
  <si>
    <t>GC</t>
  </si>
  <si>
    <t>GG</t>
  </si>
  <si>
    <t>first pos G</t>
  </si>
  <si>
    <t>second pos G</t>
  </si>
  <si>
    <t>percetages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</si>
</sst>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2"/>
      <color rgb="FF006100"/>
      <name val="Calibri"/>
      <family val="2"/>
      <scheme val="minor"/>
    </font>
    <font>
      <sz val="12"/>
      <color rgb="FF9C0006"/>
      <name val="Calibri"/>
      <family val="2"/>
      <scheme val="minor"/>
    </font>
    <font>
      <sz val="12"/>
      <color rgb="FF9C5700"/>
      <name val="Calibri"/>
      <family val="2"/>
      <scheme val="minor"/>
    </font>
    <font>
      <sz val="12"/>
      <color rgb="FF3F3F76"/>
      <name val="Calibri"/>
      <family val="2"/>
      <scheme val="minor"/>
    </font>
    <font>
      <b/>
      <sz val="12"/>
      <color rgb="FF3F3F3F"/>
      <name val="Calibri"/>
      <family val="2"/>
      <scheme val="minor"/>
    </font>
    <font>
      <b/>
      <sz val="12"/>
      <color rgb="FFFA7D00"/>
      <name val="Calibri"/>
      <family val="2"/>
      <scheme val="minor"/>
    </font>
    <font>
      <sz val="12"/>
      <color rgb="FFFA7D00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2"/>
      <color rgb="FFFF0000"/>
      <name val="Calibri"/>
      <family val="2"/>
      <scheme val="minor"/>
    </font>
    <font>
      <i/>
      <sz val="12"/>
      <color rgb="FF7F7F7F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0" fontId="0" fillId="0" borderId="0" xfId="0" applyFill="1"/>
    <xf numFmtId="0" fontId="0" fillId="0" borderId="10" xfId="0" applyBorder="1" applyAlignment="1">
      <alignment horizontal="right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val>
            <c:numRef>
              <c:f>pag_alleles!$K$8:$Q$8</c:f>
              <c:numCache>
                <c:formatCode>General</c:formatCode>
                <c:ptCount val="7"/>
                <c:pt idx="0">
                  <c:v>32</c:v>
                </c:pt>
                <c:pt idx="1">
                  <c:v>25</c:v>
                </c:pt>
                <c:pt idx="2">
                  <c:v>25</c:v>
                </c:pt>
                <c:pt idx="3">
                  <c:v>22</c:v>
                </c:pt>
                <c:pt idx="4">
                  <c:v>20</c:v>
                </c:pt>
                <c:pt idx="5">
                  <c:v>22</c:v>
                </c:pt>
                <c:pt idx="6">
                  <c:v>26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5BE-E249-AD2C-6530F6C5BBF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512223824"/>
        <c:axId val="1512146640"/>
      </c:barChart>
      <c:catAx>
        <c:axId val="151222382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12146640"/>
        <c:crosses val="autoZero"/>
        <c:auto val="1"/>
        <c:lblAlgn val="ctr"/>
        <c:lblOffset val="100"/>
        <c:noMultiLvlLbl val="0"/>
      </c:catAx>
      <c:valAx>
        <c:axId val="15121466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1222382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val>
            <c:numRef>
              <c:f>pag_alleles!$K$7:$Q$7</c:f>
              <c:numCache>
                <c:formatCode>General</c:formatCode>
                <c:ptCount val="7"/>
                <c:pt idx="0">
                  <c:v>5</c:v>
                </c:pt>
                <c:pt idx="1">
                  <c:v>2</c:v>
                </c:pt>
                <c:pt idx="2">
                  <c:v>7</c:v>
                </c:pt>
                <c:pt idx="3">
                  <c:v>12</c:v>
                </c:pt>
                <c:pt idx="4">
                  <c:v>13</c:v>
                </c:pt>
                <c:pt idx="5">
                  <c:v>10</c:v>
                </c:pt>
                <c:pt idx="6">
                  <c:v>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C3D-C746-B848-28E578C7611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505801408"/>
        <c:axId val="1505815296"/>
      </c:barChart>
      <c:catAx>
        <c:axId val="150580140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05815296"/>
        <c:crosses val="autoZero"/>
        <c:auto val="1"/>
        <c:lblAlgn val="ctr"/>
        <c:lblOffset val="100"/>
        <c:noMultiLvlLbl val="0"/>
      </c:catAx>
      <c:valAx>
        <c:axId val="150581529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0580140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val>
            <c:numRef>
              <c:f>pag_alleles!$K$6:$Q$6</c:f>
              <c:numCache>
                <c:formatCode>General</c:formatCode>
                <c:ptCount val="7"/>
                <c:pt idx="0">
                  <c:v>1</c:v>
                </c:pt>
                <c:pt idx="1">
                  <c:v>11</c:v>
                </c:pt>
                <c:pt idx="2">
                  <c:v>6</c:v>
                </c:pt>
                <c:pt idx="3">
                  <c:v>4</c:v>
                </c:pt>
                <c:pt idx="4">
                  <c:v>7</c:v>
                </c:pt>
                <c:pt idx="5">
                  <c:v>6</c:v>
                </c:pt>
                <c:pt idx="6">
                  <c:v>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6D9-1E45-AC51-13A2FEEA6A2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442587616"/>
        <c:axId val="1442605280"/>
      </c:barChart>
      <c:catAx>
        <c:axId val="144258761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42605280"/>
        <c:crosses val="autoZero"/>
        <c:auto val="1"/>
        <c:lblAlgn val="ctr"/>
        <c:lblOffset val="100"/>
        <c:noMultiLvlLbl val="0"/>
      </c:catAx>
      <c:valAx>
        <c:axId val="144260528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4258761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val>
            <c:numRef>
              <c:f>pag_alleles!$T$6:$Z$6</c:f>
              <c:numCache>
                <c:formatCode>General</c:formatCode>
                <c:ptCount val="7"/>
                <c:pt idx="0">
                  <c:v>6</c:v>
                </c:pt>
                <c:pt idx="1">
                  <c:v>13</c:v>
                </c:pt>
                <c:pt idx="2">
                  <c:v>13</c:v>
                </c:pt>
                <c:pt idx="3">
                  <c:v>16</c:v>
                </c:pt>
                <c:pt idx="4">
                  <c:v>20</c:v>
                </c:pt>
                <c:pt idx="5">
                  <c:v>16</c:v>
                </c:pt>
                <c:pt idx="6">
                  <c:v>10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26C-3E4C-A193-5FF7F3D6500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438480672"/>
        <c:axId val="1438338016"/>
      </c:barChart>
      <c:catAx>
        <c:axId val="143848067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38338016"/>
        <c:crosses val="autoZero"/>
        <c:auto val="1"/>
        <c:lblAlgn val="ctr"/>
        <c:lblOffset val="100"/>
        <c:noMultiLvlLbl val="0"/>
      </c:catAx>
      <c:valAx>
        <c:axId val="143833801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3848067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val>
            <c:numRef>
              <c:f>pag_alleles!$AC$6:$AI$6</c:f>
              <c:numCache>
                <c:formatCode>General</c:formatCode>
                <c:ptCount val="7"/>
                <c:pt idx="0">
                  <c:v>5</c:v>
                </c:pt>
                <c:pt idx="1">
                  <c:v>2</c:v>
                </c:pt>
                <c:pt idx="2">
                  <c:v>7</c:v>
                </c:pt>
                <c:pt idx="3">
                  <c:v>12</c:v>
                </c:pt>
                <c:pt idx="4">
                  <c:v>13</c:v>
                </c:pt>
                <c:pt idx="5">
                  <c:v>10</c:v>
                </c:pt>
                <c:pt idx="6">
                  <c:v>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31E-D548-9ECD-3A6E2E6B2A0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511901088"/>
        <c:axId val="1511902736"/>
      </c:barChart>
      <c:catAx>
        <c:axId val="151190108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11902736"/>
        <c:crosses val="autoZero"/>
        <c:auto val="1"/>
        <c:lblAlgn val="ctr"/>
        <c:lblOffset val="100"/>
        <c:noMultiLvlLbl val="0"/>
      </c:catAx>
      <c:valAx>
        <c:axId val="151190273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1190108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742950</xdr:colOff>
      <xdr:row>16</xdr:row>
      <xdr:rowOff>88900</xdr:rowOff>
    </xdr:from>
    <xdr:to>
      <xdr:col>15</xdr:col>
      <xdr:colOff>361950</xdr:colOff>
      <xdr:row>29</xdr:row>
      <xdr:rowOff>190500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4DEF05B6-59C0-354D-AE3E-422C57B91D4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9</xdr:col>
      <xdr:colOff>730250</xdr:colOff>
      <xdr:row>31</xdr:row>
      <xdr:rowOff>76200</xdr:rowOff>
    </xdr:from>
    <xdr:to>
      <xdr:col>15</xdr:col>
      <xdr:colOff>349250</xdr:colOff>
      <xdr:row>44</xdr:row>
      <xdr:rowOff>177800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E061D2C1-97C0-7248-9A49-F086B7DF1F4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9</xdr:col>
      <xdr:colOff>717550</xdr:colOff>
      <xdr:row>45</xdr:row>
      <xdr:rowOff>152400</xdr:rowOff>
    </xdr:from>
    <xdr:to>
      <xdr:col>15</xdr:col>
      <xdr:colOff>336550</xdr:colOff>
      <xdr:row>59</xdr:row>
      <xdr:rowOff>50800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ADA78D82-B83B-FF40-8AF0-9D7ED86DE3E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20</xdr:col>
      <xdr:colOff>158750</xdr:colOff>
      <xdr:row>11</xdr:row>
      <xdr:rowOff>190500</xdr:rowOff>
    </xdr:from>
    <xdr:to>
      <xdr:col>25</xdr:col>
      <xdr:colOff>603250</xdr:colOff>
      <xdr:row>25</xdr:row>
      <xdr:rowOff>88900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3B42B08D-6031-2446-875C-A0E53691E70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28</xdr:col>
      <xdr:colOff>628650</xdr:colOff>
      <xdr:row>11</xdr:row>
      <xdr:rowOff>165100</xdr:rowOff>
    </xdr:from>
    <xdr:to>
      <xdr:col>34</xdr:col>
      <xdr:colOff>247650</xdr:colOff>
      <xdr:row>25</xdr:row>
      <xdr:rowOff>63500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FB886CDA-6242-0540-B0E7-4A6B667FCE7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I63"/>
  <sheetViews>
    <sheetView tabSelected="1" topLeftCell="H1" workbookViewId="0">
      <selection activeCell="L12" sqref="L12"/>
    </sheetView>
  </sheetViews>
  <sheetFormatPr baseColWidth="10" defaultRowHeight="16" x14ac:dyDescent="0.2"/>
  <sheetData>
    <row r="1" spans="1:35" x14ac:dyDescent="0.2">
      <c r="A1" t="s">
        <v>0</v>
      </c>
    </row>
    <row r="2" spans="1:35" x14ac:dyDescent="0.2">
      <c r="B2" t="s">
        <v>1</v>
      </c>
      <c r="C2" t="s">
        <v>2</v>
      </c>
      <c r="D2" t="s">
        <v>3</v>
      </c>
      <c r="E2" t="s">
        <v>4</v>
      </c>
      <c r="F2" t="s">
        <v>5</v>
      </c>
      <c r="G2" t="s">
        <v>6</v>
      </c>
      <c r="H2" t="s">
        <v>7</v>
      </c>
    </row>
    <row r="3" spans="1:35" x14ac:dyDescent="0.2">
      <c r="A3">
        <v>1</v>
      </c>
      <c r="B3" t="s">
        <v>8</v>
      </c>
      <c r="C3" t="s">
        <v>8</v>
      </c>
      <c r="D3" t="s">
        <v>8</v>
      </c>
      <c r="E3" t="s">
        <v>8</v>
      </c>
      <c r="F3" t="s">
        <v>8</v>
      </c>
      <c r="G3" t="s">
        <v>8</v>
      </c>
      <c r="H3" t="s">
        <v>8</v>
      </c>
    </row>
    <row r="4" spans="1:35" x14ac:dyDescent="0.2">
      <c r="A4">
        <v>2</v>
      </c>
      <c r="B4" t="s">
        <v>9</v>
      </c>
      <c r="C4" t="s">
        <v>8</v>
      </c>
      <c r="D4" t="s">
        <v>8</v>
      </c>
      <c r="E4" t="s">
        <v>8</v>
      </c>
      <c r="F4" t="s">
        <v>8</v>
      </c>
      <c r="G4" t="s">
        <v>8</v>
      </c>
      <c r="H4" t="s">
        <v>8</v>
      </c>
      <c r="S4" t="s">
        <v>18</v>
      </c>
      <c r="AB4" t="s">
        <v>19</v>
      </c>
    </row>
    <row r="5" spans="1:35" x14ac:dyDescent="0.2">
      <c r="A5">
        <v>3</v>
      </c>
      <c r="B5" t="s">
        <v>8</v>
      </c>
      <c r="C5" t="s">
        <v>9</v>
      </c>
      <c r="D5" t="s">
        <v>8</v>
      </c>
      <c r="E5" t="s">
        <v>10</v>
      </c>
      <c r="F5" t="s">
        <v>9</v>
      </c>
      <c r="G5" t="s">
        <v>8</v>
      </c>
      <c r="H5" t="s">
        <v>8</v>
      </c>
      <c r="K5" s="2" t="s">
        <v>6</v>
      </c>
      <c r="L5" s="2" t="s">
        <v>7</v>
      </c>
      <c r="M5" s="2" t="s">
        <v>1</v>
      </c>
      <c r="N5" s="2" t="s">
        <v>5</v>
      </c>
      <c r="O5" s="2" t="s">
        <v>3</v>
      </c>
      <c r="P5" s="2" t="s">
        <v>2</v>
      </c>
      <c r="Q5" s="2" t="s">
        <v>4</v>
      </c>
      <c r="T5" s="2" t="s">
        <v>6</v>
      </c>
      <c r="U5" s="2" t="s">
        <v>7</v>
      </c>
      <c r="V5" s="2" t="s">
        <v>1</v>
      </c>
      <c r="W5" s="2" t="s">
        <v>5</v>
      </c>
      <c r="X5" s="2" t="s">
        <v>3</v>
      </c>
      <c r="Y5" s="2" t="s">
        <v>2</v>
      </c>
      <c r="Z5" s="2" t="s">
        <v>4</v>
      </c>
      <c r="AC5" s="2" t="s">
        <v>6</v>
      </c>
      <c r="AD5" s="2" t="s">
        <v>7</v>
      </c>
      <c r="AE5" s="2" t="s">
        <v>1</v>
      </c>
      <c r="AF5" s="2" t="s">
        <v>5</v>
      </c>
      <c r="AG5" s="2" t="s">
        <v>3</v>
      </c>
      <c r="AH5" s="2" t="s">
        <v>2</v>
      </c>
      <c r="AI5" s="2" t="s">
        <v>4</v>
      </c>
    </row>
    <row r="6" spans="1:35" x14ac:dyDescent="0.2">
      <c r="A6">
        <v>4</v>
      </c>
      <c r="B6" t="s">
        <v>8</v>
      </c>
      <c r="C6" t="s">
        <v>8</v>
      </c>
      <c r="D6" t="s">
        <v>8</v>
      </c>
      <c r="E6" t="s">
        <v>8</v>
      </c>
      <c r="F6" t="s">
        <v>9</v>
      </c>
      <c r="G6" t="s">
        <v>8</v>
      </c>
      <c r="H6" t="s">
        <v>8</v>
      </c>
      <c r="J6" t="s">
        <v>12</v>
      </c>
      <c r="K6" s="1">
        <f>COUNTIF(G3:G42,"*a*")</f>
        <v>1</v>
      </c>
      <c r="L6" s="1">
        <f>COUNTIF(H3:H42,"*a*")</f>
        <v>11</v>
      </c>
      <c r="M6" s="1">
        <f>COUNTIF(B3:B42,"*a*")</f>
        <v>6</v>
      </c>
      <c r="N6" s="1">
        <f>COUNTIF(F3:F42,"*a*")</f>
        <v>4</v>
      </c>
      <c r="O6" s="1">
        <f>COUNTIF(D3:D42,"*a*")</f>
        <v>7</v>
      </c>
      <c r="P6" s="1">
        <f>COUNTIF(C3:C42,"*a*")</f>
        <v>6</v>
      </c>
      <c r="Q6" s="1">
        <f>COUNTIF(E3:E42,"*a*")</f>
        <v>6</v>
      </c>
      <c r="R6" t="s">
        <v>16</v>
      </c>
      <c r="T6">
        <f>K6+K7</f>
        <v>6</v>
      </c>
      <c r="U6">
        <f t="shared" ref="U6:Z6" si="0">L6+L7</f>
        <v>13</v>
      </c>
      <c r="V6">
        <f t="shared" si="0"/>
        <v>13</v>
      </c>
      <c r="W6">
        <f t="shared" si="0"/>
        <v>16</v>
      </c>
      <c r="X6">
        <f t="shared" si="0"/>
        <v>20</v>
      </c>
      <c r="Y6">
        <f t="shared" si="0"/>
        <v>16</v>
      </c>
      <c r="Z6">
        <f t="shared" si="0"/>
        <v>10</v>
      </c>
      <c r="AC6">
        <f>K7</f>
        <v>5</v>
      </c>
      <c r="AD6">
        <f t="shared" ref="AD6:AI6" si="1">L7</f>
        <v>2</v>
      </c>
      <c r="AE6">
        <f t="shared" si="1"/>
        <v>7</v>
      </c>
      <c r="AF6">
        <f t="shared" si="1"/>
        <v>12</v>
      </c>
      <c r="AG6">
        <f t="shared" si="1"/>
        <v>13</v>
      </c>
      <c r="AH6">
        <f t="shared" si="1"/>
        <v>10</v>
      </c>
      <c r="AI6">
        <f t="shared" si="1"/>
        <v>4</v>
      </c>
    </row>
    <row r="7" spans="1:35" x14ac:dyDescent="0.2">
      <c r="A7">
        <v>5</v>
      </c>
      <c r="B7" t="s">
        <v>8</v>
      </c>
      <c r="C7" t="s">
        <v>9</v>
      </c>
      <c r="D7" t="s">
        <v>9</v>
      </c>
      <c r="E7" t="s">
        <v>8</v>
      </c>
      <c r="F7" t="s">
        <v>9</v>
      </c>
      <c r="G7" t="s">
        <v>8</v>
      </c>
      <c r="H7" t="s">
        <v>8</v>
      </c>
      <c r="J7" t="s">
        <v>13</v>
      </c>
      <c r="K7" s="1">
        <f>COUNTIF(G3:G42,"*g*")</f>
        <v>5</v>
      </c>
      <c r="L7" s="1">
        <f>COUNTIF(H3:H42,"*g*")</f>
        <v>2</v>
      </c>
      <c r="M7" s="1">
        <f>COUNTIF(B3:B42,"*g*")</f>
        <v>7</v>
      </c>
      <c r="N7" s="1">
        <f>COUNTIF(F3:F42,"*g*")</f>
        <v>12</v>
      </c>
      <c r="O7" s="1">
        <f>COUNTIF(D3:D42,"*g*")</f>
        <v>13</v>
      </c>
      <c r="P7" s="1">
        <f>COUNTIF(C3:C42,"*g*")</f>
        <v>10</v>
      </c>
      <c r="Q7" s="1">
        <f>COUNTIF(E3:E42,"*g*")</f>
        <v>4</v>
      </c>
      <c r="R7" t="s">
        <v>17</v>
      </c>
    </row>
    <row r="8" spans="1:35" x14ac:dyDescent="0.2">
      <c r="A8">
        <v>6</v>
      </c>
      <c r="B8" t="s">
        <v>8</v>
      </c>
      <c r="C8" t="s">
        <v>8</v>
      </c>
      <c r="D8" t="s">
        <v>8</v>
      </c>
      <c r="E8" t="s">
        <v>9</v>
      </c>
      <c r="F8" t="s">
        <v>9</v>
      </c>
      <c r="G8" t="s">
        <v>8</v>
      </c>
      <c r="H8" t="s">
        <v>8</v>
      </c>
      <c r="J8" t="s">
        <v>14</v>
      </c>
      <c r="K8" s="1">
        <f>COUNTIF(G3:G42,"*p*")</f>
        <v>32</v>
      </c>
      <c r="L8" s="1">
        <f>COUNTIF(H3:H42,"*p*")</f>
        <v>25</v>
      </c>
      <c r="M8" s="1">
        <f>COUNTIF(B3:B42,"*p*")</f>
        <v>25</v>
      </c>
      <c r="N8" s="1">
        <f>COUNTIF(F3:F42,"*p*")</f>
        <v>22</v>
      </c>
      <c r="O8" s="1">
        <f>COUNTIF(D3:D42,"*p*")</f>
        <v>20</v>
      </c>
      <c r="P8" s="1">
        <f>COUNTIF(C3:C42,"*p*")</f>
        <v>22</v>
      </c>
      <c r="Q8" s="1">
        <f>COUNTIF(E3:E42,"*p*")</f>
        <v>26</v>
      </c>
      <c r="R8" t="s">
        <v>15</v>
      </c>
    </row>
    <row r="9" spans="1:35" x14ac:dyDescent="0.2">
      <c r="A9">
        <v>7</v>
      </c>
      <c r="B9" t="s">
        <v>8</v>
      </c>
      <c r="C9" t="s">
        <v>10</v>
      </c>
      <c r="D9" t="s">
        <v>8</v>
      </c>
      <c r="E9" t="s">
        <v>10</v>
      </c>
      <c r="F9" t="s">
        <v>8</v>
      </c>
      <c r="G9" t="s">
        <v>9</v>
      </c>
      <c r="H9" t="s">
        <v>10</v>
      </c>
      <c r="K9">
        <f>SUM(K6:K8)</f>
        <v>38</v>
      </c>
      <c r="L9">
        <f t="shared" ref="L9:Q9" si="2">SUM(L6:L8)</f>
        <v>38</v>
      </c>
      <c r="M9">
        <f t="shared" si="2"/>
        <v>38</v>
      </c>
      <c r="N9">
        <f t="shared" si="2"/>
        <v>38</v>
      </c>
      <c r="O9">
        <f t="shared" si="2"/>
        <v>40</v>
      </c>
      <c r="P9">
        <f t="shared" si="2"/>
        <v>38</v>
      </c>
      <c r="Q9">
        <f t="shared" si="2"/>
        <v>36</v>
      </c>
    </row>
    <row r="10" spans="1:35" x14ac:dyDescent="0.2">
      <c r="A10">
        <v>8</v>
      </c>
      <c r="B10" t="s">
        <v>9</v>
      </c>
      <c r="C10" t="s">
        <v>10</v>
      </c>
      <c r="D10" t="s">
        <v>8</v>
      </c>
      <c r="E10" t="s">
        <v>10</v>
      </c>
      <c r="F10" t="s">
        <v>9</v>
      </c>
      <c r="G10" t="s">
        <v>8</v>
      </c>
      <c r="H10" t="s">
        <v>10</v>
      </c>
      <c r="M10">
        <f>M6/$M$9</f>
        <v>0.15789473684210525</v>
      </c>
      <c r="N10">
        <f>N6/$N$9</f>
        <v>0.10526315789473684</v>
      </c>
      <c r="O10">
        <f>O6/$O$9</f>
        <v>0.17499999999999999</v>
      </c>
      <c r="P10">
        <f>P6/$P$9</f>
        <v>0.15789473684210525</v>
      </c>
      <c r="Q10">
        <f>Q6/$Q$9</f>
        <v>0.16666666666666666</v>
      </c>
    </row>
    <row r="11" spans="1:35" x14ac:dyDescent="0.2">
      <c r="A11">
        <v>9</v>
      </c>
      <c r="B11" t="s">
        <v>8</v>
      </c>
      <c r="C11" t="s">
        <v>10</v>
      </c>
      <c r="D11" t="s">
        <v>8</v>
      </c>
      <c r="E11" t="s">
        <v>8</v>
      </c>
      <c r="F11" t="s">
        <v>8</v>
      </c>
      <c r="G11" t="s">
        <v>9</v>
      </c>
      <c r="H11" t="s">
        <v>10</v>
      </c>
      <c r="L11" t="s">
        <v>20</v>
      </c>
      <c r="M11">
        <f t="shared" ref="M11:Q12" si="3">M7/$M$9</f>
        <v>0.18421052631578946</v>
      </c>
      <c r="N11">
        <f t="shared" ref="N11:N12" si="4">N7/$N$9</f>
        <v>0.31578947368421051</v>
      </c>
      <c r="O11">
        <f t="shared" ref="O11:O12" si="5">O7/$O$9</f>
        <v>0.32500000000000001</v>
      </c>
      <c r="P11">
        <f t="shared" ref="P11:P12" si="6">P7/$P$9</f>
        <v>0.26315789473684209</v>
      </c>
      <c r="Q11">
        <f t="shared" ref="Q11:Q12" si="7">Q7/$Q$9</f>
        <v>0.1111111111111111</v>
      </c>
    </row>
    <row r="12" spans="1:35" x14ac:dyDescent="0.2">
      <c r="A12">
        <v>10</v>
      </c>
      <c r="B12" t="s">
        <v>8</v>
      </c>
      <c r="C12" t="s">
        <v>9</v>
      </c>
      <c r="D12" t="s">
        <v>8</v>
      </c>
      <c r="E12" t="s">
        <v>8</v>
      </c>
      <c r="F12" t="s">
        <v>9</v>
      </c>
      <c r="G12" t="s">
        <v>8</v>
      </c>
      <c r="H12" t="s">
        <v>10</v>
      </c>
      <c r="M12">
        <f t="shared" si="3"/>
        <v>0.65789473684210531</v>
      </c>
      <c r="N12">
        <f t="shared" si="4"/>
        <v>0.57894736842105265</v>
      </c>
      <c r="O12">
        <f t="shared" si="5"/>
        <v>0.5</v>
      </c>
      <c r="P12">
        <f t="shared" si="6"/>
        <v>0.57894736842105265</v>
      </c>
      <c r="Q12">
        <f t="shared" si="7"/>
        <v>0.72222222222222221</v>
      </c>
    </row>
    <row r="13" spans="1:35" x14ac:dyDescent="0.2">
      <c r="A13">
        <v>11</v>
      </c>
      <c r="B13" t="s">
        <v>8</v>
      </c>
      <c r="C13" t="s">
        <v>9</v>
      </c>
      <c r="D13" t="s">
        <v>9</v>
      </c>
      <c r="E13" t="s">
        <v>8</v>
      </c>
      <c r="F13" t="s">
        <v>9</v>
      </c>
      <c r="G13" t="s">
        <v>8</v>
      </c>
      <c r="H13" t="s">
        <v>8</v>
      </c>
    </row>
    <row r="14" spans="1:35" x14ac:dyDescent="0.2">
      <c r="A14">
        <v>12</v>
      </c>
      <c r="B14" t="s">
        <v>10</v>
      </c>
      <c r="C14" t="s">
        <v>8</v>
      </c>
      <c r="D14" t="s">
        <v>9</v>
      </c>
      <c r="E14" t="s">
        <v>10</v>
      </c>
      <c r="F14" t="s">
        <v>9</v>
      </c>
      <c r="G14" t="s">
        <v>8</v>
      </c>
      <c r="H14" t="s">
        <v>9</v>
      </c>
    </row>
    <row r="15" spans="1:35" x14ac:dyDescent="0.2">
      <c r="A15">
        <v>13</v>
      </c>
      <c r="B15" t="s">
        <v>9</v>
      </c>
      <c r="C15" t="s">
        <v>8</v>
      </c>
      <c r="D15" t="s">
        <v>9</v>
      </c>
      <c r="E15" t="s">
        <v>8</v>
      </c>
      <c r="F15" t="s">
        <v>8</v>
      </c>
      <c r="G15" t="s">
        <v>8</v>
      </c>
      <c r="H15" t="s">
        <v>8</v>
      </c>
    </row>
    <row r="16" spans="1:35" x14ac:dyDescent="0.2">
      <c r="A16">
        <v>14</v>
      </c>
      <c r="B16" t="s">
        <v>10</v>
      </c>
      <c r="C16" t="s">
        <v>10</v>
      </c>
      <c r="D16" t="s">
        <v>10</v>
      </c>
      <c r="E16" t="s">
        <v>8</v>
      </c>
      <c r="F16" t="s">
        <v>8</v>
      </c>
      <c r="G16" t="s">
        <v>9</v>
      </c>
      <c r="H16" t="s">
        <v>8</v>
      </c>
    </row>
    <row r="17" spans="1:8" x14ac:dyDescent="0.2">
      <c r="A17">
        <v>15</v>
      </c>
      <c r="B17" t="s">
        <v>8</v>
      </c>
      <c r="C17" t="s">
        <v>9</v>
      </c>
      <c r="D17" t="s">
        <v>9</v>
      </c>
      <c r="E17" t="s">
        <v>8</v>
      </c>
      <c r="F17" t="s">
        <v>8</v>
      </c>
      <c r="G17" t="s">
        <v>8</v>
      </c>
      <c r="H17" t="s">
        <v>10</v>
      </c>
    </row>
    <row r="18" spans="1:8" x14ac:dyDescent="0.2">
      <c r="A18">
        <v>16</v>
      </c>
      <c r="B18" t="s">
        <v>10</v>
      </c>
      <c r="C18" t="s">
        <v>8</v>
      </c>
      <c r="D18" t="s">
        <v>8</v>
      </c>
      <c r="E18" t="s">
        <v>9</v>
      </c>
      <c r="F18" t="s">
        <v>8</v>
      </c>
      <c r="G18" t="s">
        <v>8</v>
      </c>
      <c r="H18" t="s">
        <v>8</v>
      </c>
    </row>
    <row r="19" spans="1:8" x14ac:dyDescent="0.2">
      <c r="A19">
        <v>17</v>
      </c>
      <c r="B19" t="s">
        <v>9</v>
      </c>
      <c r="C19" t="s">
        <v>9</v>
      </c>
      <c r="D19" t="s">
        <v>8</v>
      </c>
      <c r="E19" t="s">
        <v>8</v>
      </c>
      <c r="F19" t="s">
        <v>8</v>
      </c>
      <c r="G19" t="s">
        <v>8</v>
      </c>
      <c r="H19" t="s">
        <v>10</v>
      </c>
    </row>
    <row r="20" spans="1:8" x14ac:dyDescent="0.2">
      <c r="A20">
        <v>18</v>
      </c>
      <c r="B20" t="s">
        <v>9</v>
      </c>
      <c r="C20" t="s">
        <v>9</v>
      </c>
      <c r="D20" t="s">
        <v>8</v>
      </c>
      <c r="E20" t="s">
        <v>8</v>
      </c>
      <c r="F20" t="s">
        <v>8</v>
      </c>
      <c r="G20" t="s">
        <v>8</v>
      </c>
      <c r="H20" t="s">
        <v>10</v>
      </c>
    </row>
    <row r="21" spans="1:8" x14ac:dyDescent="0.2">
      <c r="A21">
        <v>19</v>
      </c>
      <c r="B21" t="s">
        <v>8</v>
      </c>
      <c r="C21" t="s">
        <v>9</v>
      </c>
      <c r="D21" t="s">
        <v>9</v>
      </c>
      <c r="E21" t="s">
        <v>8</v>
      </c>
      <c r="F21" t="s">
        <v>8</v>
      </c>
      <c r="G21" t="s">
        <v>8</v>
      </c>
      <c r="H21" t="s">
        <v>10</v>
      </c>
    </row>
    <row r="22" spans="1:8" x14ac:dyDescent="0.2">
      <c r="A22">
        <v>20</v>
      </c>
      <c r="B22" t="s">
        <v>8</v>
      </c>
      <c r="C22" t="s">
        <v>9</v>
      </c>
      <c r="D22" t="s">
        <v>10</v>
      </c>
      <c r="E22" t="s">
        <v>8</v>
      </c>
      <c r="F22" t="s">
        <v>8</v>
      </c>
      <c r="G22" t="s">
        <v>8</v>
      </c>
      <c r="H22" t="s">
        <v>8</v>
      </c>
    </row>
    <row r="23" spans="1:8" x14ac:dyDescent="0.2">
      <c r="A23">
        <v>21</v>
      </c>
      <c r="B23" t="s">
        <v>8</v>
      </c>
      <c r="C23" t="s">
        <v>8</v>
      </c>
      <c r="D23" t="s">
        <v>10</v>
      </c>
      <c r="E23" t="s">
        <v>8</v>
      </c>
      <c r="F23" t="s">
        <v>8</v>
      </c>
      <c r="G23" t="s">
        <v>8</v>
      </c>
      <c r="H23" t="s">
        <v>10</v>
      </c>
    </row>
    <row r="24" spans="1:8" x14ac:dyDescent="0.2">
      <c r="A24">
        <v>22</v>
      </c>
      <c r="B24" t="s">
        <v>8</v>
      </c>
      <c r="C24" t="s">
        <v>8</v>
      </c>
      <c r="D24" t="s">
        <v>8</v>
      </c>
      <c r="E24" t="s">
        <v>8</v>
      </c>
      <c r="F24" t="s">
        <v>8</v>
      </c>
      <c r="G24" t="s">
        <v>8</v>
      </c>
      <c r="H24" t="s">
        <v>10</v>
      </c>
    </row>
    <row r="25" spans="1:8" x14ac:dyDescent="0.2">
      <c r="A25">
        <v>23</v>
      </c>
      <c r="B25" t="s">
        <v>8</v>
      </c>
      <c r="C25" t="s">
        <v>8</v>
      </c>
      <c r="D25" t="s">
        <v>10</v>
      </c>
      <c r="E25" t="s">
        <v>10</v>
      </c>
      <c r="F25" t="s">
        <v>10</v>
      </c>
      <c r="G25" t="s">
        <v>8</v>
      </c>
      <c r="H25" t="s">
        <v>8</v>
      </c>
    </row>
    <row r="26" spans="1:8" x14ac:dyDescent="0.2">
      <c r="A26">
        <v>24</v>
      </c>
      <c r="B26" t="s">
        <v>10</v>
      </c>
      <c r="C26" t="s">
        <v>9</v>
      </c>
      <c r="D26" t="s">
        <v>9</v>
      </c>
      <c r="E26" t="s">
        <v>8</v>
      </c>
      <c r="F26" t="s">
        <v>10</v>
      </c>
      <c r="G26" t="s">
        <v>8</v>
      </c>
      <c r="H26" t="s">
        <v>8</v>
      </c>
    </row>
    <row r="27" spans="1:8" x14ac:dyDescent="0.2">
      <c r="A27">
        <v>25</v>
      </c>
      <c r="B27" t="s">
        <v>8</v>
      </c>
      <c r="C27" t="s">
        <v>8</v>
      </c>
      <c r="D27" t="s">
        <v>8</v>
      </c>
      <c r="E27" t="s">
        <v>9</v>
      </c>
      <c r="F27" t="s">
        <v>8</v>
      </c>
      <c r="G27" t="s">
        <v>8</v>
      </c>
      <c r="H27" t="s">
        <v>8</v>
      </c>
    </row>
    <row r="28" spans="1:8" x14ac:dyDescent="0.2">
      <c r="A28">
        <v>26</v>
      </c>
      <c r="B28" t="s">
        <v>8</v>
      </c>
      <c r="C28" t="s">
        <v>8</v>
      </c>
      <c r="D28" t="s">
        <v>10</v>
      </c>
      <c r="E28" t="s">
        <v>8</v>
      </c>
      <c r="F28" t="s">
        <v>9</v>
      </c>
      <c r="G28" t="s">
        <v>8</v>
      </c>
      <c r="H28" t="s">
        <v>8</v>
      </c>
    </row>
    <row r="29" spans="1:8" x14ac:dyDescent="0.2">
      <c r="A29">
        <v>27</v>
      </c>
      <c r="B29" t="s">
        <v>9</v>
      </c>
      <c r="C29" t="s">
        <v>10</v>
      </c>
      <c r="D29" t="s">
        <v>8</v>
      </c>
      <c r="E29" t="s">
        <v>8</v>
      </c>
      <c r="F29" t="s">
        <v>8</v>
      </c>
      <c r="G29" t="s">
        <v>8</v>
      </c>
      <c r="H29" t="s">
        <v>8</v>
      </c>
    </row>
    <row r="30" spans="1:8" x14ac:dyDescent="0.2">
      <c r="A30">
        <v>28</v>
      </c>
      <c r="B30" t="s">
        <v>10</v>
      </c>
      <c r="C30" t="s">
        <v>8</v>
      </c>
      <c r="D30" t="s">
        <v>10</v>
      </c>
      <c r="E30" t="s">
        <v>8</v>
      </c>
      <c r="F30" t="s">
        <v>9</v>
      </c>
      <c r="G30" t="s">
        <v>8</v>
      </c>
      <c r="H30" t="s">
        <v>8</v>
      </c>
    </row>
    <row r="31" spans="1:8" x14ac:dyDescent="0.2">
      <c r="A31">
        <v>29</v>
      </c>
      <c r="B31" t="s">
        <v>8</v>
      </c>
      <c r="C31" t="s">
        <v>8</v>
      </c>
      <c r="D31" t="s">
        <v>9</v>
      </c>
      <c r="E31" t="s">
        <v>8</v>
      </c>
      <c r="F31" t="s">
        <v>10</v>
      </c>
      <c r="G31" t="s">
        <v>10</v>
      </c>
      <c r="H31" t="s">
        <v>8</v>
      </c>
    </row>
    <row r="32" spans="1:8" x14ac:dyDescent="0.2">
      <c r="A32">
        <v>30</v>
      </c>
      <c r="B32" t="s">
        <v>8</v>
      </c>
      <c r="C32" t="s">
        <v>8</v>
      </c>
      <c r="D32" t="s">
        <v>8</v>
      </c>
      <c r="E32" t="s">
        <v>8</v>
      </c>
      <c r="F32" t="s">
        <v>9</v>
      </c>
      <c r="G32" t="s">
        <v>9</v>
      </c>
      <c r="H32" t="s">
        <v>8</v>
      </c>
    </row>
    <row r="33" spans="1:8" x14ac:dyDescent="0.2">
      <c r="A33">
        <v>31</v>
      </c>
      <c r="B33" t="s">
        <v>10</v>
      </c>
      <c r="C33" t="s">
        <v>10</v>
      </c>
      <c r="D33" t="s">
        <v>8</v>
      </c>
      <c r="E33" t="s">
        <v>8</v>
      </c>
      <c r="F33" t="s">
        <v>9</v>
      </c>
      <c r="G33" t="s">
        <v>8</v>
      </c>
      <c r="H33" t="s">
        <v>8</v>
      </c>
    </row>
    <row r="34" spans="1:8" x14ac:dyDescent="0.2">
      <c r="A34">
        <v>32</v>
      </c>
      <c r="B34" t="s">
        <v>8</v>
      </c>
      <c r="C34" t="s">
        <v>8</v>
      </c>
      <c r="D34" t="s">
        <v>10</v>
      </c>
      <c r="E34" t="s">
        <v>8</v>
      </c>
      <c r="F34" t="s">
        <v>8</v>
      </c>
      <c r="G34" t="s">
        <v>8</v>
      </c>
      <c r="H34" t="s">
        <v>8</v>
      </c>
    </row>
    <row r="35" spans="1:8" x14ac:dyDescent="0.2">
      <c r="A35">
        <v>33</v>
      </c>
      <c r="B35" t="s">
        <v>9</v>
      </c>
      <c r="C35" t="s">
        <v>8</v>
      </c>
      <c r="D35" t="s">
        <v>9</v>
      </c>
      <c r="E35" t="s">
        <v>8</v>
      </c>
      <c r="F35" t="s">
        <v>8</v>
      </c>
      <c r="G35" t="s">
        <v>8</v>
      </c>
      <c r="H35" t="s">
        <v>8</v>
      </c>
    </row>
    <row r="36" spans="1:8" x14ac:dyDescent="0.2">
      <c r="A36">
        <v>34</v>
      </c>
      <c r="B36" t="s">
        <v>8</v>
      </c>
      <c r="C36" t="s">
        <v>8</v>
      </c>
      <c r="D36" t="s">
        <v>8</v>
      </c>
      <c r="E36" t="s">
        <v>8</v>
      </c>
      <c r="F36" t="s">
        <v>8</v>
      </c>
      <c r="G36" t="s">
        <v>8</v>
      </c>
      <c r="H36" t="s">
        <v>8</v>
      </c>
    </row>
    <row r="37" spans="1:8" x14ac:dyDescent="0.2">
      <c r="A37">
        <v>35</v>
      </c>
      <c r="B37" t="s">
        <v>8</v>
      </c>
      <c r="C37" t="s">
        <v>8</v>
      </c>
      <c r="D37" t="s">
        <v>9</v>
      </c>
      <c r="E37" t="s">
        <v>9</v>
      </c>
      <c r="F37" t="s">
        <v>8</v>
      </c>
      <c r="G37" t="s">
        <v>8</v>
      </c>
      <c r="H37" t="s">
        <v>9</v>
      </c>
    </row>
    <row r="38" spans="1:8" x14ac:dyDescent="0.2">
      <c r="A38">
        <v>36</v>
      </c>
      <c r="B38" t="s">
        <v>8</v>
      </c>
      <c r="C38" t="s">
        <v>8</v>
      </c>
      <c r="D38" t="s">
        <v>9</v>
      </c>
      <c r="E38" t="s">
        <v>10</v>
      </c>
      <c r="F38" t="s">
        <v>8</v>
      </c>
      <c r="G38" t="s">
        <v>8</v>
      </c>
      <c r="H38" t="s">
        <v>10</v>
      </c>
    </row>
    <row r="39" spans="1:8" x14ac:dyDescent="0.2">
      <c r="A39">
        <v>37</v>
      </c>
      <c r="B39" t="s">
        <v>8</v>
      </c>
      <c r="C39" t="s">
        <v>8</v>
      </c>
      <c r="D39" t="s">
        <v>9</v>
      </c>
      <c r="E39" t="s">
        <v>11</v>
      </c>
      <c r="F39" t="s">
        <v>10</v>
      </c>
      <c r="G39" t="s">
        <v>9</v>
      </c>
      <c r="H39" t="s">
        <v>8</v>
      </c>
    </row>
    <row r="40" spans="1:8" x14ac:dyDescent="0.2">
      <c r="A40">
        <v>38</v>
      </c>
      <c r="B40" t="s">
        <v>8</v>
      </c>
      <c r="C40" t="s">
        <v>8</v>
      </c>
      <c r="D40" t="s">
        <v>9</v>
      </c>
      <c r="E40" t="s">
        <v>11</v>
      </c>
      <c r="F40" t="s">
        <v>8</v>
      </c>
      <c r="G40" t="s">
        <v>8</v>
      </c>
      <c r="H40" t="s">
        <v>8</v>
      </c>
    </row>
    <row r="41" spans="1:8" x14ac:dyDescent="0.2">
      <c r="A41">
        <v>39</v>
      </c>
      <c r="B41" t="s">
        <v>11</v>
      </c>
      <c r="C41" t="s">
        <v>11</v>
      </c>
      <c r="D41" t="s">
        <v>8</v>
      </c>
      <c r="E41" t="s">
        <v>11</v>
      </c>
      <c r="F41" t="s">
        <v>11</v>
      </c>
      <c r="G41" t="s">
        <v>11</v>
      </c>
      <c r="H41" t="s">
        <v>11</v>
      </c>
    </row>
    <row r="42" spans="1:8" x14ac:dyDescent="0.2">
      <c r="A42">
        <v>40</v>
      </c>
      <c r="B42" t="s">
        <v>11</v>
      </c>
      <c r="C42" t="s">
        <v>11</v>
      </c>
      <c r="D42" t="s">
        <v>8</v>
      </c>
      <c r="E42" t="s">
        <v>11</v>
      </c>
      <c r="F42" t="s">
        <v>11</v>
      </c>
      <c r="G42" t="s">
        <v>11</v>
      </c>
      <c r="H42" t="s">
        <v>11</v>
      </c>
    </row>
    <row r="43" spans="1:8" x14ac:dyDescent="0.2">
      <c r="A43">
        <v>41</v>
      </c>
    </row>
    <row r="44" spans="1:8" x14ac:dyDescent="0.2">
      <c r="A44">
        <v>42</v>
      </c>
    </row>
    <row r="45" spans="1:8" x14ac:dyDescent="0.2">
      <c r="A45">
        <v>43</v>
      </c>
    </row>
    <row r="46" spans="1:8" x14ac:dyDescent="0.2">
      <c r="A46">
        <v>44</v>
      </c>
    </row>
    <row r="47" spans="1:8" x14ac:dyDescent="0.2">
      <c r="A47">
        <v>45</v>
      </c>
    </row>
    <row r="48" spans="1:8" x14ac:dyDescent="0.2">
      <c r="A48">
        <v>46</v>
      </c>
    </row>
    <row r="49" spans="1:1" x14ac:dyDescent="0.2">
      <c r="A49">
        <v>47</v>
      </c>
    </row>
    <row r="50" spans="1:1" x14ac:dyDescent="0.2">
      <c r="A50">
        <v>48</v>
      </c>
    </row>
    <row r="51" spans="1:1" x14ac:dyDescent="0.2">
      <c r="A51">
        <v>49</v>
      </c>
    </row>
    <row r="52" spans="1:1" x14ac:dyDescent="0.2">
      <c r="A52">
        <v>50</v>
      </c>
    </row>
    <row r="53" spans="1:1" x14ac:dyDescent="0.2">
      <c r="A53">
        <v>51</v>
      </c>
    </row>
    <row r="54" spans="1:1" x14ac:dyDescent="0.2">
      <c r="A54">
        <v>52</v>
      </c>
    </row>
    <row r="55" spans="1:1" x14ac:dyDescent="0.2">
      <c r="A55">
        <v>53</v>
      </c>
    </row>
    <row r="56" spans="1:1" x14ac:dyDescent="0.2">
      <c r="A56">
        <v>54</v>
      </c>
    </row>
    <row r="57" spans="1:1" x14ac:dyDescent="0.2">
      <c r="A57">
        <v>55</v>
      </c>
    </row>
    <row r="58" spans="1:1" x14ac:dyDescent="0.2">
      <c r="A58">
        <v>56</v>
      </c>
    </row>
    <row r="59" spans="1:1" x14ac:dyDescent="0.2">
      <c r="A59">
        <v>57</v>
      </c>
    </row>
    <row r="60" spans="1:1" x14ac:dyDescent="0.2">
      <c r="A60">
        <v>58</v>
      </c>
    </row>
    <row r="61" spans="1:1" x14ac:dyDescent="0.2">
      <c r="A61">
        <v>59</v>
      </c>
    </row>
    <row r="62" spans="1:1" x14ac:dyDescent="0.2">
      <c r="A62">
        <v>60</v>
      </c>
    </row>
    <row r="63" spans="1:1" x14ac:dyDescent="0.2">
      <c r="A63">
        <v>61</v>
      </c>
    </row>
  </sheetData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pag_alleles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Microsoft Office User</cp:lastModifiedBy>
  <dcterms:created xsi:type="dcterms:W3CDTF">2021-01-22T20:51:23Z</dcterms:created>
  <dcterms:modified xsi:type="dcterms:W3CDTF">2021-01-25T19:27:13Z</dcterms:modified>
</cp:coreProperties>
</file>
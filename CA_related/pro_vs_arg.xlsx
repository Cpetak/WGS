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engepetak/Desktop/WGS/"/>
    </mc:Choice>
  </mc:AlternateContent>
  <xr:revisionPtr revIDLastSave="0" documentId="13_ncr:1_{8888E0AD-4380-C74C-BCA8-574374307C6C}" xr6:coauthVersionLast="45" xr6:coauthVersionMax="45" xr10:uidLastSave="{00000000-0000-0000-0000-000000000000}"/>
  <bookViews>
    <workbookView xWindow="0" yWindow="0" windowWidth="28800" windowHeight="18000" xr2:uid="{12F6A034-2461-AB4D-AC01-B69E2FAD47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C44" i="1"/>
  <c r="D44" i="1"/>
  <c r="E44" i="1"/>
  <c r="G44" i="1"/>
  <c r="B44" i="1"/>
  <c r="F41" i="1"/>
  <c r="E41" i="1"/>
  <c r="D41" i="1"/>
  <c r="E34" i="1"/>
  <c r="F34" i="1"/>
  <c r="D34" i="1"/>
</calcChain>
</file>

<file path=xl/sharedStrings.xml><?xml version="1.0" encoding="utf-8"?>
<sst xmlns="http://schemas.openxmlformats.org/spreadsheetml/2006/main" count="209" uniqueCount="35">
  <si>
    <t>SAN</t>
  </si>
  <si>
    <t>LOM</t>
  </si>
  <si>
    <t>TER</t>
  </si>
  <si>
    <t>BOD</t>
  </si>
  <si>
    <t>CAP</t>
  </si>
  <si>
    <t>FOG</t>
  </si>
  <si>
    <t>KIB</t>
  </si>
  <si>
    <t>written codon like in genome!</t>
  </si>
  <si>
    <t>pro</t>
  </si>
  <si>
    <t>pro/gly</t>
  </si>
  <si>
    <t>gly</t>
  </si>
  <si>
    <t>gly/pro</t>
  </si>
  <si>
    <t>ala</t>
  </si>
  <si>
    <t>ala/pro</t>
  </si>
  <si>
    <t>ala/gly</t>
  </si>
  <si>
    <t>gly/ala</t>
  </si>
  <si>
    <t>DO SAN, CAP and FOG regardless!</t>
  </si>
  <si>
    <t>check p-values in new mafs</t>
  </si>
  <si>
    <t>not in it</t>
  </si>
  <si>
    <t>NA</t>
  </si>
  <si>
    <t>High</t>
  </si>
  <si>
    <t>Low</t>
  </si>
  <si>
    <t>sig</t>
  </si>
  <si>
    <t>in the end:</t>
  </si>
  <si>
    <t>not sig if we say they are polymorhic</t>
  </si>
  <si>
    <t>sig if we say not polymorphic and not include SAN</t>
  </si>
  <si>
    <t>sig if we say SAN is polymorphic but not CAP and LOM - CHEATING</t>
  </si>
  <si>
    <t>THIS IS THE ONLY WAY IT IS NOT CHEATING BUT IS SIGN</t>
  </si>
  <si>
    <t>CAP, FOG not polymorphic, only proline</t>
  </si>
  <si>
    <t>SAN not included due to missing pH data</t>
  </si>
  <si>
    <t>this is also significant, alanine</t>
  </si>
  <si>
    <t>proline</t>
  </si>
  <si>
    <t>WITH LOCAL REVERSAL</t>
  </si>
  <si>
    <t>NOT SIG but local reversion, opposite to above</t>
  </si>
  <si>
    <t>rosszat neztem, nem sig de mind1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</si>
</sst>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Sheet1!$T$5:$T$11</c:f>
              <c:numCache>
                <c:formatCode>General</c:formatCode>
                <c:ptCount val="7"/>
                <c:pt idx="0">
                  <c:v>0.17</c:v>
                </c:pt>
                <c:pt idx="1">
                  <c:v>7.0000000000000007E-2</c:v>
                </c:pt>
                <c:pt idx="2">
                  <c:v>3.0000000000000001E-3</c:v>
                </c:pt>
                <c:pt idx="3">
                  <c:v>0.05</c:v>
                </c:pt>
                <c:pt idx="4">
                  <c:v>0.01</c:v>
                </c:pt>
                <c:pt idx="5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7-6A42-A22C-051E76B7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719855"/>
        <c:axId val="950981183"/>
      </c:lineChart>
      <c:catAx>
        <c:axId val="9507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981183"/>
        <c:crosses val="autoZero"/>
        <c:auto val="1"/>
        <c:lblAlgn val="ctr"/>
        <c:lblOffset val="100"/>
        <c:noMultiLvlLbl val="0"/>
      </c:catAx>
      <c:valAx>
        <c:axId val="9509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1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Sheet1!$B$39:$H$39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20</c:v>
                </c:pt>
                <c:pt idx="4">
                  <c:v>15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9-384D-ABAD-0BA0DC7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639407"/>
        <c:axId val="957937247"/>
      </c:lineChart>
      <c:catAx>
        <c:axId val="9576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37247"/>
        <c:crosses val="autoZero"/>
        <c:auto val="1"/>
        <c:lblAlgn val="ctr"/>
        <c:lblOffset val="100"/>
        <c:noMultiLvlLbl val="0"/>
      </c:catAx>
      <c:valAx>
        <c:axId val="9579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6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Sheet1!$B$40:$H$40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E-254E-86DB-025D74E6D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998783"/>
        <c:axId val="959950047"/>
      </c:lineChart>
      <c:catAx>
        <c:axId val="9599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50047"/>
        <c:crosses val="autoZero"/>
        <c:auto val="1"/>
        <c:lblAlgn val="ctr"/>
        <c:lblOffset val="100"/>
        <c:noMultiLvlLbl val="0"/>
      </c:catAx>
      <c:valAx>
        <c:axId val="95995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9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Sheet1!$B$41:$H$41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20</c:v>
                </c:pt>
                <c:pt idx="3">
                  <c:v>17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C-5647-A0C5-E3A6CC422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267663"/>
        <c:axId val="960698591"/>
      </c:lineChart>
      <c:catAx>
        <c:axId val="8912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698591"/>
        <c:crosses val="autoZero"/>
        <c:auto val="1"/>
        <c:lblAlgn val="ctr"/>
        <c:lblOffset val="100"/>
        <c:noMultiLvlLbl val="0"/>
      </c:catAx>
      <c:valAx>
        <c:axId val="9606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6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Sheet1!$B$44:$H$44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31</c:v>
                </c:pt>
                <c:pt idx="3">
                  <c:v>37</c:v>
                </c:pt>
                <c:pt idx="4">
                  <c:v>32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C-3940-94C7-EC89B4519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55055"/>
        <c:axId val="964856703"/>
      </c:lineChart>
      <c:catAx>
        <c:axId val="96485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56703"/>
        <c:crosses val="autoZero"/>
        <c:auto val="1"/>
        <c:lblAlgn val="ctr"/>
        <c:lblOffset val="100"/>
        <c:noMultiLvlLbl val="0"/>
      </c:catAx>
      <c:valAx>
        <c:axId val="9648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5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23</xdr:row>
      <xdr:rowOff>69850</xdr:rowOff>
    </xdr:from>
    <xdr:to>
      <xdr:col>14</xdr:col>
      <xdr:colOff>806450</xdr:colOff>
      <xdr:row>36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D36B943-2D5E-134E-87C4-29B792F3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393700</xdr:colOff>
      <xdr:row>38</xdr:row>
      <xdr:rowOff>19050</xdr:rowOff>
    </xdr:from>
    <xdr:to>
      <xdr:col>15</xdr:col>
      <xdr:colOff>12700</xdr:colOff>
      <xdr:row>51</xdr:row>
      <xdr:rowOff>120650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A12920-ED5D-9946-9207-27AB220B8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266700</xdr:colOff>
      <xdr:row>39</xdr:row>
      <xdr:rowOff>52917</xdr:rowOff>
    </xdr:from>
    <xdr:to>
      <xdr:col>20</xdr:col>
      <xdr:colOff>711200</xdr:colOff>
      <xdr:row>52</xdr:row>
      <xdr:rowOff>154517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5FEB23-512C-6E44-BAE9-363A0A964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381000</xdr:colOff>
      <xdr:row>9</xdr:row>
      <xdr:rowOff>0</xdr:rowOff>
    </xdr:from>
    <xdr:to>
      <xdr:col>14</xdr:col>
      <xdr:colOff>804333</xdr:colOff>
      <xdr:row>22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5052FB5-4DAD-594F-B05D-9A84B1376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618067</xdr:colOff>
      <xdr:row>21</xdr:row>
      <xdr:rowOff>33866</xdr:rowOff>
    </xdr:from>
    <xdr:to>
      <xdr:col>21</xdr:col>
      <xdr:colOff>211667</xdr:colOff>
      <xdr:row>34</xdr:row>
      <xdr:rowOff>135466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8761C8-54E4-634B-91DD-E897435DF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0EB0-9BE0-5C46-AF85-0F6DE32436B8}">
  <dimension ref="A1:U89"/>
  <sheetViews>
    <sheetView tabSelected="1" workbookViewId="0">
      <selection activeCell="E33" sqref="E33"/>
    </sheetView>
  </sheetViews>
  <sheetFormatPr baseColWidth="10" defaultRowHeight="16" x14ac:dyDescent="0.2"/>
  <sheetData>
    <row r="1" spans="1:20" x14ac:dyDescent="0.2"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</row>
    <row r="2" spans="1:20" x14ac:dyDescent="0.2">
      <c r="A2">
        <v>1</v>
      </c>
      <c r="B2" t="s">
        <v>12</v>
      </c>
      <c r="C2" t="s">
        <v>8</v>
      </c>
      <c r="D2" t="s">
        <v>11</v>
      </c>
      <c r="E2" t="s">
        <v>8</v>
      </c>
      <c r="F2" t="s">
        <v>11</v>
      </c>
      <c r="G2" t="s">
        <v>8</v>
      </c>
      <c r="H2" t="s">
        <v>8</v>
      </c>
    </row>
    <row r="3" spans="1:20" x14ac:dyDescent="0.2">
      <c r="A3">
        <v>2</v>
      </c>
      <c r="B3" t="s">
        <v>9</v>
      </c>
      <c r="C3" t="s">
        <v>8</v>
      </c>
      <c r="D3" t="s">
        <v>8</v>
      </c>
      <c r="E3" t="s">
        <v>10</v>
      </c>
      <c r="F3" t="s">
        <v>11</v>
      </c>
      <c r="G3" t="s">
        <v>13</v>
      </c>
      <c r="H3" t="s">
        <v>11</v>
      </c>
    </row>
    <row r="4" spans="1:20" x14ac:dyDescent="0.2">
      <c r="A4">
        <v>3</v>
      </c>
      <c r="B4" t="s">
        <v>9</v>
      </c>
      <c r="C4" t="s">
        <v>11</v>
      </c>
      <c r="D4" t="s">
        <v>8</v>
      </c>
      <c r="E4" t="s">
        <v>10</v>
      </c>
      <c r="F4" t="s">
        <v>8</v>
      </c>
      <c r="G4" t="s">
        <v>13</v>
      </c>
      <c r="H4" t="s">
        <v>10</v>
      </c>
    </row>
    <row r="5" spans="1:20" x14ac:dyDescent="0.2">
      <c r="A5">
        <v>4</v>
      </c>
      <c r="B5" t="s">
        <v>9</v>
      </c>
      <c r="C5" t="s">
        <v>11</v>
      </c>
      <c r="D5" t="s">
        <v>8</v>
      </c>
      <c r="E5" t="s">
        <v>11</v>
      </c>
      <c r="F5" t="s">
        <v>11</v>
      </c>
      <c r="G5" t="s">
        <v>8</v>
      </c>
      <c r="H5" t="s">
        <v>11</v>
      </c>
      <c r="T5">
        <v>0.17</v>
      </c>
    </row>
    <row r="6" spans="1:20" x14ac:dyDescent="0.2">
      <c r="A6">
        <v>5</v>
      </c>
      <c r="B6" t="s">
        <v>8</v>
      </c>
      <c r="C6" t="s">
        <v>12</v>
      </c>
      <c r="D6" t="s">
        <v>8</v>
      </c>
      <c r="E6" t="s">
        <v>11</v>
      </c>
      <c r="F6" t="s">
        <v>11</v>
      </c>
      <c r="G6" t="s">
        <v>12</v>
      </c>
      <c r="H6" t="s">
        <v>8</v>
      </c>
      <c r="T6">
        <v>7.0000000000000007E-2</v>
      </c>
    </row>
    <row r="7" spans="1:20" x14ac:dyDescent="0.2">
      <c r="A7">
        <v>6</v>
      </c>
      <c r="B7" t="s">
        <v>13</v>
      </c>
      <c r="C7" t="s">
        <v>14</v>
      </c>
      <c r="D7" t="s">
        <v>15</v>
      </c>
      <c r="E7" t="s">
        <v>10</v>
      </c>
      <c r="F7" t="s">
        <v>11</v>
      </c>
      <c r="G7" t="s">
        <v>12</v>
      </c>
      <c r="H7" t="s">
        <v>10</v>
      </c>
      <c r="T7">
        <v>3.0000000000000001E-3</v>
      </c>
    </row>
    <row r="8" spans="1:20" x14ac:dyDescent="0.2">
      <c r="A8">
        <v>7</v>
      </c>
      <c r="B8" t="s">
        <v>10</v>
      </c>
      <c r="C8" t="s">
        <v>10</v>
      </c>
      <c r="D8" t="s">
        <v>15</v>
      </c>
      <c r="E8" t="s">
        <v>10</v>
      </c>
      <c r="F8" t="s">
        <v>11</v>
      </c>
      <c r="G8" t="s">
        <v>8</v>
      </c>
      <c r="H8" t="s">
        <v>8</v>
      </c>
      <c r="T8">
        <v>0.05</v>
      </c>
    </row>
    <row r="9" spans="1:20" x14ac:dyDescent="0.2">
      <c r="A9">
        <v>8</v>
      </c>
      <c r="B9" t="s">
        <v>8</v>
      </c>
      <c r="C9" t="s">
        <v>13</v>
      </c>
      <c r="D9" t="s">
        <v>11</v>
      </c>
      <c r="E9" t="s">
        <v>8</v>
      </c>
      <c r="F9" t="s">
        <v>12</v>
      </c>
      <c r="G9" t="s">
        <v>8</v>
      </c>
      <c r="H9" t="s">
        <v>8</v>
      </c>
      <c r="T9">
        <v>0.01</v>
      </c>
    </row>
    <row r="10" spans="1:20" x14ac:dyDescent="0.2">
      <c r="A10">
        <v>9</v>
      </c>
      <c r="B10" t="s">
        <v>8</v>
      </c>
      <c r="C10" t="s">
        <v>11</v>
      </c>
      <c r="D10" t="s">
        <v>8</v>
      </c>
      <c r="E10" t="s">
        <v>8</v>
      </c>
      <c r="F10" t="s">
        <v>13</v>
      </c>
      <c r="G10" t="s">
        <v>12</v>
      </c>
      <c r="H10" t="s">
        <v>11</v>
      </c>
      <c r="T10">
        <v>7.0000000000000001E-3</v>
      </c>
    </row>
    <row r="11" spans="1:20" x14ac:dyDescent="0.2">
      <c r="A11">
        <v>10</v>
      </c>
      <c r="B11" t="s">
        <v>8</v>
      </c>
      <c r="C11" t="s">
        <v>10</v>
      </c>
      <c r="D11" t="s">
        <v>14</v>
      </c>
      <c r="E11" t="s">
        <v>8</v>
      </c>
      <c r="F11" t="s">
        <v>10</v>
      </c>
      <c r="G11" t="s">
        <v>12</v>
      </c>
      <c r="H11" t="s">
        <v>8</v>
      </c>
    </row>
    <row r="12" spans="1:20" x14ac:dyDescent="0.2">
      <c r="A12">
        <v>11</v>
      </c>
      <c r="B12" t="s">
        <v>8</v>
      </c>
      <c r="C12" t="s">
        <v>10</v>
      </c>
      <c r="D12" t="s">
        <v>13</v>
      </c>
      <c r="E12" t="s">
        <v>11</v>
      </c>
      <c r="F12" t="s">
        <v>8</v>
      </c>
      <c r="G12" t="s">
        <v>13</v>
      </c>
      <c r="H12" t="s">
        <v>8</v>
      </c>
    </row>
    <row r="13" spans="1:20" x14ac:dyDescent="0.2">
      <c r="A13">
        <v>12</v>
      </c>
      <c r="B13" t="s">
        <v>15</v>
      </c>
      <c r="C13" t="s">
        <v>8</v>
      </c>
      <c r="D13" t="s">
        <v>14</v>
      </c>
      <c r="E13" t="s">
        <v>8</v>
      </c>
      <c r="F13" t="s">
        <v>8</v>
      </c>
      <c r="G13" t="s">
        <v>12</v>
      </c>
      <c r="H13" t="s">
        <v>19</v>
      </c>
    </row>
    <row r="14" spans="1:20" x14ac:dyDescent="0.2">
      <c r="A14">
        <v>13</v>
      </c>
      <c r="B14" t="s">
        <v>13</v>
      </c>
      <c r="C14" t="s">
        <v>11</v>
      </c>
      <c r="D14" t="s">
        <v>11</v>
      </c>
      <c r="E14" t="s">
        <v>12</v>
      </c>
      <c r="F14" t="s">
        <v>12</v>
      </c>
      <c r="G14" t="s">
        <v>8</v>
      </c>
      <c r="H14" t="s">
        <v>8</v>
      </c>
    </row>
    <row r="15" spans="1:20" x14ac:dyDescent="0.2">
      <c r="A15">
        <v>14</v>
      </c>
      <c r="B15" t="s">
        <v>11</v>
      </c>
      <c r="C15" t="s">
        <v>8</v>
      </c>
      <c r="D15" t="s">
        <v>15</v>
      </c>
      <c r="E15" t="s">
        <v>11</v>
      </c>
      <c r="F15" t="s">
        <v>13</v>
      </c>
      <c r="G15" t="s">
        <v>15</v>
      </c>
      <c r="H15" t="s">
        <v>8</v>
      </c>
    </row>
    <row r="16" spans="1:20" x14ac:dyDescent="0.2">
      <c r="A16">
        <v>15</v>
      </c>
      <c r="B16" t="s">
        <v>14</v>
      </c>
      <c r="C16" t="s">
        <v>13</v>
      </c>
      <c r="D16" t="s">
        <v>11</v>
      </c>
      <c r="E16" t="s">
        <v>10</v>
      </c>
      <c r="F16" t="s">
        <v>13</v>
      </c>
      <c r="G16" t="s">
        <v>8</v>
      </c>
      <c r="H16" t="s">
        <v>8</v>
      </c>
    </row>
    <row r="17" spans="1:8" x14ac:dyDescent="0.2">
      <c r="A17">
        <v>16</v>
      </c>
      <c r="B17" t="s">
        <v>12</v>
      </c>
      <c r="C17" t="s">
        <v>11</v>
      </c>
      <c r="D17" t="s">
        <v>15</v>
      </c>
      <c r="E17" t="s">
        <v>10</v>
      </c>
      <c r="F17" t="s">
        <v>14</v>
      </c>
      <c r="G17" t="s">
        <v>8</v>
      </c>
      <c r="H17" t="s">
        <v>12</v>
      </c>
    </row>
    <row r="18" spans="1:8" x14ac:dyDescent="0.2">
      <c r="A18">
        <v>17</v>
      </c>
      <c r="B18" t="s">
        <v>8</v>
      </c>
      <c r="C18" t="s">
        <v>11</v>
      </c>
      <c r="D18" t="s">
        <v>11</v>
      </c>
      <c r="E18" t="s">
        <v>10</v>
      </c>
      <c r="F18" t="s">
        <v>8</v>
      </c>
      <c r="G18" t="s">
        <v>8</v>
      </c>
      <c r="H18" t="s">
        <v>8</v>
      </c>
    </row>
    <row r="19" spans="1:8" x14ac:dyDescent="0.2">
      <c r="A19">
        <v>18</v>
      </c>
      <c r="B19" t="s">
        <v>13</v>
      </c>
      <c r="C19" t="s">
        <v>8</v>
      </c>
      <c r="D19" t="s">
        <v>10</v>
      </c>
      <c r="E19" t="s">
        <v>8</v>
      </c>
      <c r="F19" t="s">
        <v>13</v>
      </c>
      <c r="G19" t="s">
        <v>8</v>
      </c>
      <c r="H19" t="s">
        <v>8</v>
      </c>
    </row>
    <row r="20" spans="1:8" x14ac:dyDescent="0.2">
      <c r="A20">
        <v>19</v>
      </c>
      <c r="B20" t="s">
        <v>9</v>
      </c>
      <c r="C20" t="s">
        <v>8</v>
      </c>
      <c r="D20" t="s">
        <v>15</v>
      </c>
      <c r="E20" t="s">
        <v>10</v>
      </c>
      <c r="F20" t="s">
        <v>10</v>
      </c>
      <c r="G20" t="s">
        <v>15</v>
      </c>
      <c r="H20" t="s">
        <v>8</v>
      </c>
    </row>
    <row r="21" spans="1:8" x14ac:dyDescent="0.2">
      <c r="A21">
        <v>20</v>
      </c>
      <c r="B21" t="s">
        <v>9</v>
      </c>
      <c r="C21" t="s">
        <v>10</v>
      </c>
      <c r="D21" t="s">
        <v>11</v>
      </c>
      <c r="E21" t="s">
        <v>13</v>
      </c>
      <c r="F21" t="s">
        <v>8</v>
      </c>
      <c r="G21" t="s">
        <v>11</v>
      </c>
      <c r="H21" t="s">
        <v>11</v>
      </c>
    </row>
    <row r="24" spans="1:8" x14ac:dyDescent="0.2">
      <c r="B24" t="s">
        <v>16</v>
      </c>
      <c r="E24" t="s">
        <v>17</v>
      </c>
      <c r="G24" t="s">
        <v>18</v>
      </c>
    </row>
    <row r="27" spans="1:8" x14ac:dyDescent="0.2">
      <c r="B27" t="s">
        <v>7</v>
      </c>
    </row>
    <row r="31" spans="1:8" x14ac:dyDescent="0.2">
      <c r="B31" t="s">
        <v>0</v>
      </c>
      <c r="C31" t="s">
        <v>1</v>
      </c>
      <c r="D31" t="s">
        <v>2</v>
      </c>
      <c r="E31" t="s">
        <v>3</v>
      </c>
      <c r="F31" t="s">
        <v>6</v>
      </c>
      <c r="G31" t="s">
        <v>4</v>
      </c>
      <c r="H31" t="s">
        <v>5</v>
      </c>
    </row>
    <row r="32" spans="1:8" x14ac:dyDescent="0.2">
      <c r="A32" t="s">
        <v>10</v>
      </c>
      <c r="B32">
        <v>10</v>
      </c>
      <c r="C32">
        <v>15</v>
      </c>
      <c r="D32">
        <v>15</v>
      </c>
      <c r="E32">
        <v>20</v>
      </c>
      <c r="F32">
        <v>11</v>
      </c>
      <c r="G32">
        <v>3</v>
      </c>
      <c r="H32">
        <v>8</v>
      </c>
    </row>
    <row r="33" spans="1:8" x14ac:dyDescent="0.2">
      <c r="A33" t="s">
        <v>12</v>
      </c>
      <c r="B33">
        <v>9</v>
      </c>
      <c r="C33">
        <v>5</v>
      </c>
      <c r="D33">
        <v>8</v>
      </c>
      <c r="E33">
        <v>3</v>
      </c>
      <c r="F33">
        <v>9</v>
      </c>
      <c r="G33">
        <v>15</v>
      </c>
      <c r="H33">
        <v>2</v>
      </c>
    </row>
    <row r="34" spans="1:8" x14ac:dyDescent="0.2">
      <c r="A34" t="s">
        <v>8</v>
      </c>
      <c r="B34">
        <v>21</v>
      </c>
      <c r="C34">
        <v>20</v>
      </c>
      <c r="D34">
        <f>40-D32-D33</f>
        <v>17</v>
      </c>
      <c r="E34">
        <f t="shared" ref="E34:F34" si="0">40-E32-E33</f>
        <v>17</v>
      </c>
      <c r="F34">
        <f t="shared" si="0"/>
        <v>20</v>
      </c>
      <c r="G34">
        <v>22</v>
      </c>
      <c r="H34">
        <v>28</v>
      </c>
    </row>
    <row r="38" spans="1:8" x14ac:dyDescent="0.2">
      <c r="B38" t="s">
        <v>5</v>
      </c>
      <c r="C38" t="s">
        <v>4</v>
      </c>
      <c r="D38" t="s">
        <v>6</v>
      </c>
      <c r="E38" t="s">
        <v>3</v>
      </c>
      <c r="F38" t="s">
        <v>2</v>
      </c>
      <c r="G38" t="s">
        <v>1</v>
      </c>
    </row>
    <row r="39" spans="1:8" x14ac:dyDescent="0.2">
      <c r="A39" t="s">
        <v>10</v>
      </c>
      <c r="B39">
        <v>0</v>
      </c>
      <c r="C39">
        <v>0</v>
      </c>
      <c r="D39">
        <v>11</v>
      </c>
      <c r="E39">
        <v>20</v>
      </c>
      <c r="F39">
        <v>15</v>
      </c>
      <c r="G39">
        <v>15</v>
      </c>
    </row>
    <row r="40" spans="1:8" x14ac:dyDescent="0.2">
      <c r="A40" t="s">
        <v>12</v>
      </c>
      <c r="B40">
        <v>0</v>
      </c>
      <c r="C40">
        <v>0</v>
      </c>
      <c r="D40">
        <v>9</v>
      </c>
      <c r="E40">
        <v>3</v>
      </c>
      <c r="F40">
        <v>8</v>
      </c>
      <c r="G40">
        <v>5</v>
      </c>
    </row>
    <row r="41" spans="1:8" x14ac:dyDescent="0.2">
      <c r="A41" t="s">
        <v>8</v>
      </c>
      <c r="B41">
        <v>40</v>
      </c>
      <c r="C41">
        <v>40</v>
      </c>
      <c r="D41">
        <f t="shared" ref="D41:E41" si="1">40-D39-D40</f>
        <v>20</v>
      </c>
      <c r="E41">
        <f t="shared" si="1"/>
        <v>17</v>
      </c>
      <c r="F41">
        <f>40-F39-F40</f>
        <v>17</v>
      </c>
      <c r="G41">
        <v>20</v>
      </c>
    </row>
    <row r="44" spans="1:8" x14ac:dyDescent="0.2">
      <c r="B44">
        <f>SUM(B39,B41)</f>
        <v>40</v>
      </c>
      <c r="C44">
        <f t="shared" ref="C44:H44" si="2">SUM(C39,C41)</f>
        <v>40</v>
      </c>
      <c r="D44">
        <f t="shared" si="2"/>
        <v>31</v>
      </c>
      <c r="E44">
        <f t="shared" si="2"/>
        <v>37</v>
      </c>
      <c r="F44">
        <f>SUM(F39,F41)</f>
        <v>32</v>
      </c>
      <c r="G44">
        <f t="shared" si="2"/>
        <v>35</v>
      </c>
    </row>
    <row r="52" spans="3:17" x14ac:dyDescent="0.2">
      <c r="C52" t="s">
        <v>10</v>
      </c>
      <c r="F52" t="s">
        <v>12</v>
      </c>
      <c r="I52" t="s">
        <v>8</v>
      </c>
    </row>
    <row r="53" spans="3:17" x14ac:dyDescent="0.2">
      <c r="C53" t="s">
        <v>20</v>
      </c>
      <c r="D53" t="s">
        <v>21</v>
      </c>
      <c r="F53" t="s">
        <v>20</v>
      </c>
      <c r="G53" t="s">
        <v>21</v>
      </c>
      <c r="I53" t="s">
        <v>20</v>
      </c>
      <c r="J53" t="s">
        <v>21</v>
      </c>
    </row>
    <row r="54" spans="3:17" x14ac:dyDescent="0.2">
      <c r="C54">
        <v>20</v>
      </c>
      <c r="D54">
        <v>11</v>
      </c>
      <c r="F54">
        <v>3</v>
      </c>
      <c r="G54">
        <v>9</v>
      </c>
      <c r="I54">
        <v>40</v>
      </c>
      <c r="J54">
        <v>20</v>
      </c>
    </row>
    <row r="55" spans="3:17" x14ac:dyDescent="0.2">
      <c r="C55">
        <v>0</v>
      </c>
      <c r="D55">
        <v>15</v>
      </c>
      <c r="F55">
        <v>0</v>
      </c>
      <c r="G55">
        <v>8</v>
      </c>
      <c r="I55">
        <v>40</v>
      </c>
      <c r="J55">
        <v>17</v>
      </c>
    </row>
    <row r="56" spans="3:17" x14ac:dyDescent="0.2">
      <c r="C56">
        <v>0</v>
      </c>
      <c r="D56">
        <v>15</v>
      </c>
      <c r="F56">
        <v>0</v>
      </c>
      <c r="G56">
        <v>5</v>
      </c>
      <c r="I56">
        <v>17</v>
      </c>
      <c r="J56">
        <v>20</v>
      </c>
      <c r="K56" t="s">
        <v>22</v>
      </c>
    </row>
    <row r="59" spans="3:17" x14ac:dyDescent="0.2">
      <c r="M59" t="s">
        <v>24</v>
      </c>
    </row>
    <row r="61" spans="3:17" x14ac:dyDescent="0.2">
      <c r="C61" t="s">
        <v>10</v>
      </c>
      <c r="F61" t="s">
        <v>12</v>
      </c>
      <c r="I61" t="s">
        <v>8</v>
      </c>
      <c r="M61" t="s">
        <v>20</v>
      </c>
      <c r="N61" t="s">
        <v>21</v>
      </c>
    </row>
    <row r="62" spans="3:17" x14ac:dyDescent="0.2">
      <c r="C62" t="s">
        <v>20</v>
      </c>
      <c r="D62" t="s">
        <v>21</v>
      </c>
      <c r="F62" t="s">
        <v>20</v>
      </c>
      <c r="G62" t="s">
        <v>21</v>
      </c>
      <c r="I62" t="s">
        <v>20</v>
      </c>
      <c r="J62" t="s">
        <v>21</v>
      </c>
      <c r="M62">
        <v>28</v>
      </c>
      <c r="N62">
        <v>20</v>
      </c>
    </row>
    <row r="63" spans="3:17" x14ac:dyDescent="0.2">
      <c r="C63">
        <v>20</v>
      </c>
      <c r="D63">
        <v>11</v>
      </c>
      <c r="F63">
        <v>3</v>
      </c>
      <c r="G63">
        <v>9</v>
      </c>
      <c r="I63">
        <v>40</v>
      </c>
      <c r="J63">
        <v>20</v>
      </c>
      <c r="M63">
        <v>22</v>
      </c>
      <c r="N63">
        <v>17</v>
      </c>
    </row>
    <row r="64" spans="3:17" x14ac:dyDescent="0.2">
      <c r="C64">
        <v>3</v>
      </c>
      <c r="D64">
        <v>15</v>
      </c>
      <c r="F64">
        <v>2</v>
      </c>
      <c r="G64">
        <v>8</v>
      </c>
      <c r="I64">
        <v>40</v>
      </c>
      <c r="J64">
        <v>17</v>
      </c>
      <c r="M64">
        <v>17</v>
      </c>
      <c r="N64">
        <v>20</v>
      </c>
      <c r="Q64" t="s">
        <v>23</v>
      </c>
    </row>
    <row r="65" spans="3:21" x14ac:dyDescent="0.2">
      <c r="C65">
        <v>8</v>
      </c>
      <c r="D65">
        <v>15</v>
      </c>
      <c r="F65">
        <v>15</v>
      </c>
      <c r="G65">
        <v>5</v>
      </c>
      <c r="I65">
        <v>17</v>
      </c>
      <c r="J65">
        <v>20</v>
      </c>
      <c r="N65">
        <v>21</v>
      </c>
    </row>
    <row r="66" spans="3:21" x14ac:dyDescent="0.2">
      <c r="D66">
        <v>10</v>
      </c>
      <c r="G66">
        <v>9</v>
      </c>
      <c r="J66">
        <v>21</v>
      </c>
    </row>
    <row r="69" spans="3:21" x14ac:dyDescent="0.2">
      <c r="M69" t="s">
        <v>25</v>
      </c>
    </row>
    <row r="70" spans="3:21" x14ac:dyDescent="0.2">
      <c r="M70" t="s">
        <v>31</v>
      </c>
    </row>
    <row r="71" spans="3:21" x14ac:dyDescent="0.2">
      <c r="M71" t="s">
        <v>20</v>
      </c>
      <c r="N71" t="s">
        <v>21</v>
      </c>
    </row>
    <row r="72" spans="3:21" x14ac:dyDescent="0.2">
      <c r="M72">
        <v>40</v>
      </c>
      <c r="N72">
        <v>20</v>
      </c>
      <c r="P72" t="s">
        <v>27</v>
      </c>
      <c r="U72" t="s">
        <v>34</v>
      </c>
    </row>
    <row r="73" spans="3:21" x14ac:dyDescent="0.2">
      <c r="M73">
        <v>40</v>
      </c>
      <c r="N73">
        <v>17</v>
      </c>
      <c r="P73" t="s">
        <v>28</v>
      </c>
    </row>
    <row r="74" spans="3:21" x14ac:dyDescent="0.2">
      <c r="M74">
        <v>17</v>
      </c>
      <c r="N74">
        <v>20</v>
      </c>
      <c r="P74" t="s">
        <v>29</v>
      </c>
    </row>
    <row r="77" spans="3:21" x14ac:dyDescent="0.2">
      <c r="M77" t="s">
        <v>26</v>
      </c>
    </row>
    <row r="80" spans="3:21" x14ac:dyDescent="0.2">
      <c r="M80" t="s">
        <v>30</v>
      </c>
    </row>
    <row r="81" spans="13:15" x14ac:dyDescent="0.2">
      <c r="M81" t="s">
        <v>20</v>
      </c>
      <c r="N81" t="s">
        <v>21</v>
      </c>
    </row>
    <row r="82" spans="13:15" x14ac:dyDescent="0.2">
      <c r="M82">
        <v>3</v>
      </c>
      <c r="N82">
        <v>9</v>
      </c>
    </row>
    <row r="83" spans="13:15" x14ac:dyDescent="0.2">
      <c r="M83">
        <v>0</v>
      </c>
      <c r="N83">
        <v>8</v>
      </c>
      <c r="O83" t="s">
        <v>32</v>
      </c>
    </row>
    <row r="84" spans="13:15" x14ac:dyDescent="0.2">
      <c r="M84">
        <v>0</v>
      </c>
      <c r="N84">
        <v>5</v>
      </c>
    </row>
    <row r="86" spans="13:15" x14ac:dyDescent="0.2">
      <c r="M86" t="s">
        <v>20</v>
      </c>
      <c r="N86" t="s">
        <v>21</v>
      </c>
    </row>
    <row r="87" spans="13:15" x14ac:dyDescent="0.2">
      <c r="M87">
        <v>20</v>
      </c>
      <c r="N87">
        <v>11</v>
      </c>
      <c r="O87" t="s">
        <v>33</v>
      </c>
    </row>
    <row r="88" spans="13:15" x14ac:dyDescent="0.2">
      <c r="M88">
        <v>0</v>
      </c>
      <c r="N88">
        <v>15</v>
      </c>
    </row>
    <row r="89" spans="13:15" x14ac:dyDescent="0.2">
      <c r="M89">
        <v>0</v>
      </c>
      <c r="N89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2020-11-17T21:36:45Z</dcterms:created>
  <dcterms:modified xsi:type="dcterms:W3CDTF">2020-11-18T21:58:17Z</dcterms:modified>
</cp:coreProperties>
</file>